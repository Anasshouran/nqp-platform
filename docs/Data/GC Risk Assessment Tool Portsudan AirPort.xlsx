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D. Darreer\Desktop\مستندات 2026م\MPOX\POEs Assessment 2024\"/>
    </mc:Choice>
  </mc:AlternateContent>
  <bookViews>
    <workbookView xWindow="-108" yWindow="-108" windowWidth="19416" windowHeight="10416" tabRatio="500" firstSheet="4" activeTab="5"/>
  </bookViews>
  <sheets>
    <sheet name="1-Instructions" sheetId="13" r:id="rId1"/>
    <sheet name="2-Ground Crossing ID" sheetId="15" r:id="rId2"/>
    <sheet name="3-Hazard Assessment" sheetId="6" r:id="rId3"/>
    <sheet name="4- Vulnerabilty Assessment" sheetId="3" r:id="rId4"/>
    <sheet name="5- Severity Assessment " sheetId="8" r:id="rId5"/>
    <sheet name=" 6-Capacity Assessment" sheetId="10" r:id="rId6"/>
    <sheet name="7- Likelihood Assessment " sheetId="12" r:id="rId7"/>
    <sheet name="8-Scorecard" sheetId="4" r:id="rId8"/>
    <sheet name="9-Mitigation Measures" sheetId="14" r:id="rId9"/>
    <sheet name="Support sheet " sheetId="9" r:id="rId10"/>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78" i="10" l="1"/>
  <c r="E10" i="10" l="1"/>
  <c r="E7" i="10"/>
  <c r="D64" i="8"/>
  <c r="D65" i="8"/>
  <c r="E80" i="10" l="1"/>
  <c r="E81" i="10"/>
  <c r="E82" i="10"/>
  <c r="E83" i="10"/>
  <c r="E84" i="10"/>
  <c r="E70" i="10"/>
  <c r="E71" i="10"/>
  <c r="E62" i="10"/>
  <c r="E63" i="10"/>
  <c r="E29" i="10"/>
  <c r="E30" i="10"/>
  <c r="E31" i="10"/>
  <c r="E24" i="10"/>
  <c r="E25" i="10"/>
  <c r="E26" i="10"/>
  <c r="E27" i="10"/>
  <c r="D90" i="12"/>
  <c r="D81" i="12"/>
  <c r="D72" i="12"/>
  <c r="D63" i="12"/>
  <c r="D54" i="12"/>
  <c r="D45" i="12"/>
  <c r="D36" i="12"/>
  <c r="D27" i="12"/>
  <c r="D18" i="12"/>
  <c r="D9" i="12"/>
  <c r="C70" i="8"/>
  <c r="C62" i="8"/>
  <c r="C55" i="8"/>
  <c r="C48" i="8"/>
  <c r="C41" i="8"/>
  <c r="C34" i="8"/>
  <c r="C27" i="8"/>
  <c r="C20" i="8"/>
  <c r="C13" i="8"/>
  <c r="C6" i="8"/>
  <c r="D91" i="3"/>
  <c r="D82" i="3"/>
  <c r="D73" i="3"/>
  <c r="D64" i="3"/>
  <c r="D55" i="3"/>
  <c r="D46" i="3"/>
  <c r="D27" i="3"/>
  <c r="D18" i="3"/>
  <c r="D9" i="3"/>
  <c r="D9" i="8"/>
  <c r="E8" i="10"/>
  <c r="E9" i="10"/>
  <c r="E11" i="10"/>
  <c r="E12" i="10"/>
  <c r="E13" i="10"/>
  <c r="E14" i="10"/>
  <c r="E15" i="10"/>
  <c r="E16" i="10"/>
  <c r="E17" i="10"/>
  <c r="E18" i="10"/>
  <c r="E19" i="10"/>
  <c r="E20" i="10"/>
  <c r="E21" i="10"/>
  <c r="E22" i="10"/>
  <c r="E23" i="10"/>
  <c r="E28" i="10"/>
  <c r="E32" i="10"/>
  <c r="E33" i="10"/>
  <c r="E34" i="10"/>
  <c r="E35" i="10"/>
  <c r="E36" i="10"/>
  <c r="E37" i="10"/>
  <c r="E38" i="10"/>
  <c r="E39" i="10"/>
  <c r="E40" i="10"/>
  <c r="E41" i="10"/>
  <c r="E42" i="10"/>
  <c r="E43" i="10"/>
  <c r="E44" i="10"/>
  <c r="E45" i="10"/>
  <c r="E46" i="10"/>
  <c r="E47" i="10"/>
  <c r="E48" i="10"/>
  <c r="E50" i="10"/>
  <c r="E51" i="10"/>
  <c r="E52" i="10"/>
  <c r="E53" i="10"/>
  <c r="E54" i="10"/>
  <c r="E55" i="10"/>
  <c r="E56" i="10"/>
  <c r="E57" i="10"/>
  <c r="E58" i="10"/>
  <c r="E59" i="10"/>
  <c r="E60" i="10"/>
  <c r="E61" i="10"/>
  <c r="E64" i="10"/>
  <c r="E65" i="10"/>
  <c r="E66" i="10"/>
  <c r="E67" i="10"/>
  <c r="E68" i="10"/>
  <c r="E69" i="10"/>
  <c r="E72" i="10"/>
  <c r="E73" i="10"/>
  <c r="E74" i="10"/>
  <c r="E75" i="10"/>
  <c r="E76" i="10"/>
  <c r="E77" i="10"/>
  <c r="E79" i="10"/>
  <c r="E8" i="4"/>
  <c r="D39" i="4" s="1"/>
  <c r="F8" i="4"/>
  <c r="D49" i="4" s="1"/>
  <c r="G8" i="4"/>
  <c r="D59" i="4" s="1"/>
  <c r="H8" i="4"/>
  <c r="D69" i="4" s="1"/>
  <c r="I8" i="4"/>
  <c r="D79" i="4" s="1"/>
  <c r="J8" i="4"/>
  <c r="D89" i="4" s="1"/>
  <c r="K8" i="4"/>
  <c r="D99" i="4" s="1"/>
  <c r="L8" i="4"/>
  <c r="D109" i="4" s="1"/>
  <c r="M8" i="4"/>
  <c r="D119" i="4" s="1"/>
  <c r="D8" i="4"/>
  <c r="D29" i="4" s="1"/>
  <c r="H80" i="8"/>
  <c r="I80" i="8"/>
  <c r="J80" i="8"/>
  <c r="K80" i="8"/>
  <c r="L80" i="8"/>
  <c r="D74" i="8"/>
  <c r="D73" i="8"/>
  <c r="D72" i="8"/>
  <c r="D66" i="8"/>
  <c r="D59" i="8"/>
  <c r="D58" i="8"/>
  <c r="D57" i="8"/>
  <c r="D52" i="8"/>
  <c r="D51" i="8"/>
  <c r="D50" i="8"/>
  <c r="D45" i="8"/>
  <c r="D44" i="8"/>
  <c r="D43" i="8"/>
  <c r="D38" i="8"/>
  <c r="D37" i="8"/>
  <c r="D36" i="8"/>
  <c r="D31" i="8"/>
  <c r="D30" i="8"/>
  <c r="D29" i="8"/>
  <c r="D24" i="8"/>
  <c r="D23" i="8"/>
  <c r="D22" i="8"/>
  <c r="D17" i="8"/>
  <c r="D16" i="8"/>
  <c r="D15" i="8"/>
  <c r="D10" i="8"/>
  <c r="D8" i="8"/>
  <c r="I102" i="3"/>
  <c r="J102" i="3"/>
  <c r="K102" i="3"/>
  <c r="L102" i="3"/>
  <c r="M102" i="3"/>
  <c r="E97" i="3"/>
  <c r="E96" i="3"/>
  <c r="E95" i="3"/>
  <c r="E94" i="3"/>
  <c r="E93" i="3"/>
  <c r="E88" i="3"/>
  <c r="E87" i="3"/>
  <c r="E86" i="3"/>
  <c r="E85" i="3"/>
  <c r="E84" i="3"/>
  <c r="E79" i="3"/>
  <c r="E78" i="3"/>
  <c r="E77" i="3"/>
  <c r="E76" i="3"/>
  <c r="E75" i="3"/>
  <c r="E70" i="3"/>
  <c r="E69" i="3"/>
  <c r="E68" i="3"/>
  <c r="E67" i="3"/>
  <c r="E66" i="3"/>
  <c r="E61" i="3"/>
  <c r="E60" i="3"/>
  <c r="E59" i="3"/>
  <c r="E58" i="3"/>
  <c r="E57" i="3"/>
  <c r="E52" i="3"/>
  <c r="E51" i="3"/>
  <c r="E50" i="3"/>
  <c r="E49" i="3"/>
  <c r="E48" i="3"/>
  <c r="E43" i="3"/>
  <c r="E42" i="3"/>
  <c r="E41" i="3"/>
  <c r="E40" i="3"/>
  <c r="E39" i="3"/>
  <c r="E33" i="3"/>
  <c r="E32" i="3"/>
  <c r="E31" i="3"/>
  <c r="E30" i="3"/>
  <c r="E29" i="3"/>
  <c r="E24" i="3"/>
  <c r="E23" i="3"/>
  <c r="E22" i="3"/>
  <c r="E21" i="3"/>
  <c r="E20" i="3"/>
  <c r="E15" i="3"/>
  <c r="E14" i="3"/>
  <c r="E13" i="3"/>
  <c r="E12" i="3"/>
  <c r="E11" i="3"/>
  <c r="I102" i="12"/>
  <c r="J102" i="12"/>
  <c r="K102" i="12"/>
  <c r="L102" i="12"/>
  <c r="M102" i="12"/>
  <c r="E96" i="12"/>
  <c r="E95" i="12"/>
  <c r="E94" i="12"/>
  <c r="E93" i="12"/>
  <c r="E92" i="12"/>
  <c r="E87" i="12"/>
  <c r="E86" i="12"/>
  <c r="E85" i="12"/>
  <c r="E84" i="12"/>
  <c r="E83" i="12"/>
  <c r="E78" i="12"/>
  <c r="E77" i="12"/>
  <c r="E76" i="12"/>
  <c r="E75" i="12"/>
  <c r="E74" i="12"/>
  <c r="E69" i="12"/>
  <c r="E68" i="12"/>
  <c r="E67" i="12"/>
  <c r="E66" i="12"/>
  <c r="E65" i="12"/>
  <c r="E60" i="12"/>
  <c r="E59" i="12"/>
  <c r="E58" i="12"/>
  <c r="E57" i="12"/>
  <c r="E56" i="12"/>
  <c r="E51" i="12"/>
  <c r="E50" i="12"/>
  <c r="E49" i="12"/>
  <c r="E48" i="12"/>
  <c r="E47" i="12"/>
  <c r="E42" i="12"/>
  <c r="E41" i="12"/>
  <c r="E40" i="12"/>
  <c r="E39" i="12"/>
  <c r="E38" i="12"/>
  <c r="E33" i="12"/>
  <c r="E32" i="12"/>
  <c r="E31" i="12"/>
  <c r="E30" i="12"/>
  <c r="E29" i="12"/>
  <c r="E24" i="12"/>
  <c r="E23" i="12"/>
  <c r="E22" i="12"/>
  <c r="E21" i="12"/>
  <c r="E20" i="12"/>
  <c r="E15" i="12"/>
  <c r="E14" i="12"/>
  <c r="E13" i="12"/>
  <c r="E12" i="12"/>
  <c r="E11" i="12"/>
  <c r="D80" i="8"/>
  <c r="E80" i="8"/>
  <c r="F80" i="8"/>
  <c r="G80" i="8"/>
  <c r="C80" i="8"/>
  <c r="H102" i="12"/>
  <c r="G102" i="12"/>
  <c r="F102" i="12"/>
  <c r="E102" i="12"/>
  <c r="D102" i="12"/>
  <c r="E102" i="3"/>
  <c r="F102" i="3"/>
  <c r="G102" i="3"/>
  <c r="H102" i="3"/>
  <c r="D102" i="3"/>
  <c r="E87" i="10" l="1"/>
  <c r="E96" i="10" s="1"/>
  <c r="E97" i="10" s="1"/>
  <c r="D32" i="8"/>
  <c r="F81" i="8" s="1"/>
  <c r="D75" i="8"/>
  <c r="L81" i="8" s="1"/>
  <c r="M10" i="4" s="1"/>
  <c r="D60" i="8"/>
  <c r="J81" i="8" s="1"/>
  <c r="D53" i="8"/>
  <c r="I81" i="8" s="1"/>
  <c r="D25" i="8"/>
  <c r="E81" i="8" s="1"/>
  <c r="D18" i="8"/>
  <c r="D81" i="8" s="1"/>
  <c r="D39" i="8"/>
  <c r="G81" i="8" s="1"/>
  <c r="D46" i="8"/>
  <c r="H81" i="8" s="1"/>
  <c r="D11" i="8"/>
  <c r="C81" i="8" s="1"/>
  <c r="D10" i="4" s="1"/>
  <c r="E80" i="3"/>
  <c r="K103" i="3" s="1"/>
  <c r="E98" i="3"/>
  <c r="M103" i="3" s="1"/>
  <c r="M9" i="4" s="1"/>
  <c r="E89" i="3"/>
  <c r="L103" i="3" s="1"/>
  <c r="E62" i="3"/>
  <c r="I103" i="3" s="1"/>
  <c r="E53" i="3"/>
  <c r="H103" i="3" s="1"/>
  <c r="E71" i="3"/>
  <c r="J103" i="3" s="1"/>
  <c r="E25" i="3"/>
  <c r="E103" i="3" s="1"/>
  <c r="E44" i="3"/>
  <c r="G103" i="3" s="1"/>
  <c r="E16" i="3"/>
  <c r="D103" i="3" s="1"/>
  <c r="E34" i="3"/>
  <c r="F103" i="3" s="1"/>
  <c r="E97" i="12"/>
  <c r="M103" i="12" s="1"/>
  <c r="E70" i="12"/>
  <c r="J103" i="12" s="1"/>
  <c r="E79" i="12"/>
  <c r="K103" i="12" s="1"/>
  <c r="E43" i="12"/>
  <c r="G103" i="12" s="1"/>
  <c r="E88" i="12"/>
  <c r="L103" i="12" s="1"/>
  <c r="E34" i="12"/>
  <c r="F103" i="12" s="1"/>
  <c r="E61" i="12"/>
  <c r="I103" i="12" s="1"/>
  <c r="E52" i="12"/>
  <c r="H103" i="12" s="1"/>
  <c r="E16" i="12"/>
  <c r="D103" i="12" s="1"/>
  <c r="E25" i="12"/>
  <c r="E103" i="12" s="1"/>
  <c r="K104" i="12" l="1"/>
  <c r="K17" i="4"/>
  <c r="K18" i="4" s="1"/>
  <c r="H9" i="4"/>
  <c r="H104" i="3"/>
  <c r="E104" i="12"/>
  <c r="E17" i="4"/>
  <c r="E18" i="4" s="1"/>
  <c r="J17" i="4"/>
  <c r="J18" i="4" s="1"/>
  <c r="J104" i="12"/>
  <c r="G104" i="3"/>
  <c r="G9" i="4"/>
  <c r="I9" i="4"/>
  <c r="I104" i="3"/>
  <c r="D104" i="12"/>
  <c r="D17" i="4"/>
  <c r="D18" i="4" s="1"/>
  <c r="L104" i="12"/>
  <c r="L17" i="4"/>
  <c r="L18" i="4" s="1"/>
  <c r="M17" i="4"/>
  <c r="M18" i="4" s="1"/>
  <c r="M104" i="12"/>
  <c r="E104" i="3"/>
  <c r="E9" i="4"/>
  <c r="L9" i="4"/>
  <c r="L104" i="3"/>
  <c r="I17" i="4"/>
  <c r="I18" i="4" s="1"/>
  <c r="I104" i="12"/>
  <c r="K9" i="4"/>
  <c r="K104" i="3"/>
  <c r="F17" i="4"/>
  <c r="F18" i="4" s="1"/>
  <c r="F104" i="12"/>
  <c r="H104" i="12"/>
  <c r="H17" i="4"/>
  <c r="H18" i="4" s="1"/>
  <c r="G104" i="12"/>
  <c r="G17" i="4"/>
  <c r="G18" i="4" s="1"/>
  <c r="F104" i="3"/>
  <c r="F9" i="4"/>
  <c r="J104" i="3"/>
  <c r="J9" i="4"/>
  <c r="D104" i="3"/>
  <c r="D9" i="4"/>
  <c r="F11" i="4"/>
  <c r="G11" i="4"/>
  <c r="H11" i="4"/>
  <c r="I11" i="4"/>
  <c r="D11" i="4"/>
  <c r="J11" i="4"/>
  <c r="L11" i="4"/>
  <c r="K11" i="4"/>
  <c r="E11" i="4"/>
  <c r="M11" i="4"/>
  <c r="M12" i="4" s="1"/>
  <c r="M13" i="4" s="1"/>
  <c r="M14" i="4" s="1"/>
  <c r="J10" i="4"/>
  <c r="I82" i="8"/>
  <c r="H10" i="4"/>
  <c r="G82" i="8"/>
  <c r="E82" i="8"/>
  <c r="F10" i="4"/>
  <c r="K10" i="4"/>
  <c r="J82" i="8"/>
  <c r="D82" i="8"/>
  <c r="E10" i="4"/>
  <c r="I10" i="4"/>
  <c r="H82" i="8"/>
  <c r="F82" i="8"/>
  <c r="G10" i="4"/>
  <c r="C82" i="8"/>
  <c r="L82" i="8"/>
  <c r="M104" i="3"/>
  <c r="D12" i="4" l="1"/>
  <c r="D13" i="4" s="1"/>
  <c r="D14" i="4" s="1"/>
  <c r="F12" i="4"/>
  <c r="F13" i="4" s="1"/>
  <c r="F14" i="4" s="1"/>
  <c r="G12" i="4"/>
  <c r="G13" i="4" s="1"/>
  <c r="G14" i="4" s="1"/>
  <c r="H12" i="4"/>
  <c r="H13" i="4" s="1"/>
  <c r="H14" i="4" s="1"/>
  <c r="E12" i="4"/>
  <c r="E13" i="4" s="1"/>
  <c r="E14" i="4" s="1"/>
  <c r="I12" i="4"/>
  <c r="I13" i="4" s="1"/>
  <c r="I14" i="4" s="1"/>
  <c r="J12" i="4"/>
  <c r="J13" i="4" s="1"/>
  <c r="J14" i="4" s="1"/>
  <c r="K12" i="4"/>
  <c r="K13" i="4" s="1"/>
  <c r="K14" i="4" s="1"/>
  <c r="L13" i="4"/>
  <c r="L14" i="4"/>
  <c r="K82" i="8"/>
  <c r="D67" i="8"/>
  <c r="K81" i="8"/>
  <c r="L10" i="4"/>
  <c r="L12" i="4"/>
</calcChain>
</file>

<file path=xl/sharedStrings.xml><?xml version="1.0" encoding="utf-8"?>
<sst xmlns="http://schemas.openxmlformats.org/spreadsheetml/2006/main" count="1069" uniqueCount="370">
  <si>
    <t xml:space="preserve"> Ground Crossing Strategic Risk Assessment Tool</t>
  </si>
  <si>
    <t>Developed from the Handbook for public health capacity-building at ground crossings and cross-border collaboration</t>
  </si>
  <si>
    <t>https://www.who.int/publications/i/item/handbook-for-public-health-capacity-building-at-ground-crossings-and-cross-border-collaboration</t>
  </si>
  <si>
    <r>
      <t xml:space="preserve">                                                                                                                         How to use this tool.
</t>
    </r>
    <r>
      <rPr>
        <i/>
        <sz val="12"/>
        <color theme="1"/>
        <rFont val="Calibri"/>
        <family val="2"/>
        <scheme val="minor"/>
      </rPr>
      <t>Note:
- Information included in the sheet are used to guide the assessment in order to achieve the desired outcomes.
- The number of the hazard is limited to 10 in the tool but can be expanded. However, this action will trigger adjustment of the tool.</t>
    </r>
  </si>
  <si>
    <r>
      <t>•</t>
    </r>
    <r>
      <rPr>
        <b/>
        <sz val="12"/>
        <color theme="1"/>
        <rFont val="Calibri"/>
        <family val="2"/>
        <scheme val="minor"/>
      </rPr>
      <t xml:space="preserve"> Step 1</t>
    </r>
    <r>
      <rPr>
        <sz val="12"/>
        <color theme="1"/>
        <rFont val="Calibri"/>
        <family val="2"/>
        <scheme val="minor"/>
      </rPr>
      <t>. Assemble a strategic risk assessment team. The knowledge and expertise of the team will greatly influence the quality of the strategic risk assessment process. Additional expertise can be brought in at any time.</t>
    </r>
  </si>
  <si>
    <r>
      <t>•</t>
    </r>
    <r>
      <rPr>
        <b/>
        <sz val="12"/>
        <color theme="1"/>
        <rFont val="Calibri"/>
        <family val="2"/>
        <scheme val="minor"/>
      </rPr>
      <t xml:space="preserve"> Step 2.</t>
    </r>
    <r>
      <rPr>
        <sz val="12"/>
        <color theme="1"/>
        <rFont val="Calibri"/>
        <family val="2"/>
        <scheme val="minor"/>
      </rPr>
      <t xml:space="preserve"> Use the Hazard Assessment Sheet to: Identify emerging hazards, known hazards or public health concerns associated with prioritized ground crossings and write the name of each identified hazard in the appropriate</t>
    </r>
    <r>
      <rPr>
        <b/>
        <sz val="12"/>
        <color theme="1"/>
        <rFont val="Calibri"/>
        <family val="2"/>
        <scheme val="minor"/>
      </rPr>
      <t xml:space="preserve"> range B14 to K14</t>
    </r>
    <r>
      <rPr>
        <sz val="12"/>
        <color theme="1"/>
        <rFont val="Calibri"/>
        <family val="2"/>
        <scheme val="minor"/>
      </rPr>
      <t>.</t>
    </r>
  </si>
  <si>
    <r>
      <rPr>
        <b/>
        <sz val="12"/>
        <color theme="1"/>
        <rFont val="Calibri"/>
        <family val="2"/>
        <scheme val="minor"/>
      </rPr>
      <t>• Step 3.</t>
    </r>
    <r>
      <rPr>
        <sz val="12"/>
        <color theme="1"/>
        <rFont val="Calibri"/>
        <family val="2"/>
        <scheme val="minor"/>
      </rPr>
      <t xml:space="preserve">
For each identified hazard:
• Use the Vulnerability Assessment Sheet to assess the vulnerability of the identified hazard. For example, </t>
    </r>
    <r>
      <rPr>
        <b/>
        <sz val="12"/>
        <color theme="1"/>
        <rFont val="Calibri"/>
        <family val="2"/>
        <scheme val="minor"/>
      </rPr>
      <t>range C9 to E16</t>
    </r>
    <r>
      <rPr>
        <sz val="12"/>
        <color theme="1"/>
        <rFont val="Calibri"/>
        <family val="2"/>
        <scheme val="minor"/>
      </rPr>
      <t xml:space="preserve"> provides the area to evaluate the exposure level of Hazard 1 by responding to five questions that generate a score which leads to classification of the vulnerability level of </t>
    </r>
    <r>
      <rPr>
        <b/>
        <sz val="12"/>
        <color theme="1"/>
        <rFont val="Calibri"/>
        <family val="2"/>
        <scheme val="minor"/>
      </rPr>
      <t xml:space="preserve">Hazard 1 </t>
    </r>
    <r>
      <rPr>
        <sz val="12"/>
        <color theme="1"/>
        <rFont val="Calibri"/>
        <family val="2"/>
        <scheme val="minor"/>
      </rPr>
      <t xml:space="preserve">that appears in </t>
    </r>
    <r>
      <rPr>
        <b/>
        <sz val="12"/>
        <color theme="1"/>
        <rFont val="Calibri"/>
        <family val="2"/>
        <scheme val="minor"/>
      </rPr>
      <t>cell E104.</t>
    </r>
    <r>
      <rPr>
        <sz val="12"/>
        <color theme="1"/>
        <rFont val="Calibri"/>
        <family val="2"/>
        <scheme val="minor"/>
      </rPr>
      <t xml:space="preserve"> The score is populated directly in the scorecard sheet </t>
    </r>
    <r>
      <rPr>
        <b/>
        <sz val="12"/>
        <color theme="1"/>
        <rFont val="Calibri"/>
        <family val="2"/>
        <scheme val="minor"/>
      </rPr>
      <t>(cell D9).</t>
    </r>
    <r>
      <rPr>
        <sz val="12"/>
        <color theme="1"/>
        <rFont val="Calibri"/>
        <family val="2"/>
        <scheme val="minor"/>
      </rPr>
      <t xml:space="preserve">
• Use the Severity Assessment Sheet to assess the severity of the identified hazard. For example, </t>
    </r>
    <r>
      <rPr>
        <b/>
        <sz val="12"/>
        <color theme="1"/>
        <rFont val="Calibri"/>
        <family val="2"/>
        <scheme val="minor"/>
      </rPr>
      <t>range B6 to D11</t>
    </r>
    <r>
      <rPr>
        <sz val="12"/>
        <color theme="1"/>
        <rFont val="Calibri"/>
        <family val="2"/>
        <scheme val="minor"/>
      </rPr>
      <t xml:space="preserve"> provides the area to evaluate the severity level of Hazard 1 by responding to three questions that generate a score which leads to classification of the severity level of </t>
    </r>
    <r>
      <rPr>
        <b/>
        <sz val="12"/>
        <color theme="1"/>
        <rFont val="Calibri"/>
        <family val="2"/>
        <scheme val="minor"/>
      </rPr>
      <t xml:space="preserve">Hazard 1 </t>
    </r>
    <r>
      <rPr>
        <sz val="12"/>
        <color theme="1"/>
        <rFont val="Calibri"/>
        <family val="2"/>
        <scheme val="minor"/>
      </rPr>
      <t xml:space="preserve">that appears in </t>
    </r>
    <r>
      <rPr>
        <b/>
        <sz val="12"/>
        <color theme="1"/>
        <rFont val="Calibri"/>
        <family val="2"/>
        <scheme val="minor"/>
      </rPr>
      <t>cell C81</t>
    </r>
    <r>
      <rPr>
        <sz val="12"/>
        <color theme="1"/>
        <rFont val="Calibri"/>
        <family val="2"/>
        <scheme val="minor"/>
      </rPr>
      <t xml:space="preserve">. The score is populated directly in the scorecard sheet </t>
    </r>
    <r>
      <rPr>
        <b/>
        <sz val="12"/>
        <color theme="1"/>
        <rFont val="Calibri"/>
        <family val="2"/>
        <scheme val="minor"/>
      </rPr>
      <t>(cell D10)</t>
    </r>
    <r>
      <rPr>
        <sz val="12"/>
        <color theme="1"/>
        <rFont val="Calibri"/>
        <family val="2"/>
        <scheme val="minor"/>
      </rPr>
      <t>.
• Use the Capacity Assessment Sheet to assess the capacity of the ground crossing. A series of guiding questions is provided in the</t>
    </r>
    <r>
      <rPr>
        <b/>
        <sz val="12"/>
        <color theme="1"/>
        <rFont val="Calibri"/>
        <family val="2"/>
        <scheme val="minor"/>
      </rPr>
      <t xml:space="preserve"> range C7 to E84</t>
    </r>
    <r>
      <rPr>
        <sz val="12"/>
        <color theme="1"/>
        <rFont val="Calibri"/>
        <family val="2"/>
        <scheme val="minor"/>
      </rPr>
      <t xml:space="preserve"> to assist in the evaluation of existing coping capacities that should be used to manage potential hazards. All applicable questions in the tool are to be answered as Yes/Completed, Maybe/In Progress, or No.
The overall coping capacity score (1–5) is populated in the </t>
    </r>
    <r>
      <rPr>
        <b/>
        <sz val="12"/>
        <color theme="1"/>
        <rFont val="Calibri"/>
        <family val="2"/>
        <scheme val="minor"/>
      </rPr>
      <t>range D96 to E97</t>
    </r>
    <r>
      <rPr>
        <sz val="12"/>
        <color theme="1"/>
        <rFont val="Calibri"/>
        <family val="2"/>
        <scheme val="minor"/>
      </rPr>
      <t xml:space="preserve">, including the level of the capacity. The overall score is populated directly in the scorecard sheet </t>
    </r>
    <r>
      <rPr>
        <b/>
        <sz val="12"/>
        <color theme="1"/>
        <rFont val="Calibri"/>
        <family val="2"/>
        <scheme val="minor"/>
      </rPr>
      <t>(range E11 to M11)</t>
    </r>
    <r>
      <rPr>
        <sz val="12"/>
        <color theme="1"/>
        <rFont val="Calibri"/>
        <family val="2"/>
        <scheme val="minor"/>
      </rPr>
      <t xml:space="preserve">.
</t>
    </r>
  </si>
  <si>
    <r>
      <rPr>
        <b/>
        <sz val="12"/>
        <color theme="1"/>
        <rFont val="Calibri"/>
        <family val="2"/>
        <scheme val="minor"/>
      </rPr>
      <t>• Step 4.</t>
    </r>
    <r>
      <rPr>
        <sz val="12"/>
        <color theme="1"/>
        <rFont val="Calibri"/>
        <family val="2"/>
        <scheme val="minor"/>
      </rPr>
      <t xml:space="preserve"> The scorecard sheet to assign a level of risk in order to populate the risk matrix.
</t>
    </r>
    <r>
      <rPr>
        <b/>
        <sz val="12"/>
        <color theme="1"/>
        <rFont val="Calibri"/>
        <family val="2"/>
        <scheme val="minor"/>
      </rPr>
      <t xml:space="preserve">• Step 4.a </t>
    </r>
    <r>
      <rPr>
        <sz val="12"/>
        <color theme="1"/>
        <rFont val="Calibri"/>
        <family val="2"/>
        <scheme val="minor"/>
      </rPr>
      <t xml:space="preserve">
Use the Likelihood Assessment Sheet to assess the likelihood of the identified hazard. For example, range B9 to D16 provides the areas to evaluate the likelihood level of Hazard 1 by responding to five questions that generate a score leading to classification of the likelihood level of Hazard 1 that appears in cell D104. The score is populated directly in the scorecard sheet (cell D17).
</t>
    </r>
    <r>
      <rPr>
        <b/>
        <sz val="12"/>
        <color theme="1"/>
        <rFont val="Calibri"/>
        <family val="2"/>
        <scheme val="minor"/>
      </rPr>
      <t xml:space="preserve">
• Step 4.b</t>
    </r>
    <r>
      <rPr>
        <sz val="12"/>
        <color theme="1"/>
        <rFont val="Calibri"/>
        <family val="2"/>
        <scheme val="minor"/>
      </rPr>
      <t xml:space="preserve">
</t>
    </r>
    <r>
      <rPr>
        <b/>
        <sz val="12"/>
        <color theme="1"/>
        <rFont val="Calibri"/>
        <family val="2"/>
        <scheme val="minor"/>
      </rPr>
      <t>Range C7 to M14</t>
    </r>
    <r>
      <rPr>
        <sz val="12"/>
        <color theme="1"/>
        <rFont val="Calibri"/>
        <family val="2"/>
        <scheme val="minor"/>
      </rPr>
      <t xml:space="preserve"> of the Scorecard Sheet is linked to the score of the vulnerability, severity and capacity assessment sheets. The formula (Impact = (vulnerability + severity + coping capacity)/3) in the scorecard sheet generates the impact value and the level of each hazard identified in </t>
    </r>
    <r>
      <rPr>
        <b/>
        <sz val="12"/>
        <color theme="1"/>
        <rFont val="Calibri"/>
        <family val="2"/>
        <scheme val="minor"/>
      </rPr>
      <t>the range C12 to M14.</t>
    </r>
    <r>
      <rPr>
        <sz val="12"/>
        <color theme="1"/>
        <rFont val="Calibri"/>
        <family val="2"/>
        <scheme val="minor"/>
      </rPr>
      <t xml:space="preserve">
</t>
    </r>
    <r>
      <rPr>
        <b/>
        <sz val="12"/>
        <color theme="1"/>
        <rFont val="Calibri"/>
        <family val="2"/>
        <scheme val="minor"/>
      </rPr>
      <t xml:space="preserve">Range C17 to M18 </t>
    </r>
    <r>
      <rPr>
        <sz val="12"/>
        <color theme="1"/>
        <rFont val="Calibri"/>
        <family val="2"/>
        <scheme val="minor"/>
      </rPr>
      <t xml:space="preserve">of the Scorecard Sheet is linked to the score of the likelihood assessment sheet to facilitate the reading of the risk level of each hazard </t>
    </r>
    <r>
      <rPr>
        <b/>
        <sz val="12"/>
        <color theme="1"/>
        <rFont val="Calibri"/>
        <family val="2"/>
        <scheme val="minor"/>
      </rPr>
      <t>(Range C31 to I127)</t>
    </r>
    <r>
      <rPr>
        <sz val="12"/>
        <color theme="1"/>
        <rFont val="Calibri"/>
        <family val="2"/>
        <scheme val="minor"/>
      </rPr>
      <t xml:space="preserve"> guided by the risk matrix inserted in the </t>
    </r>
    <r>
      <rPr>
        <b/>
        <sz val="12"/>
        <color theme="1"/>
        <rFont val="Calibri"/>
        <family val="2"/>
        <scheme val="minor"/>
      </rPr>
      <t>range C21 to  I27</t>
    </r>
    <r>
      <rPr>
        <sz val="12"/>
        <color theme="1"/>
        <rFont val="Calibri"/>
        <family val="2"/>
        <scheme val="minor"/>
      </rPr>
      <t xml:space="preserve">.
</t>
    </r>
  </si>
  <si>
    <r>
      <rPr>
        <b/>
        <sz val="12"/>
        <color theme="1"/>
        <rFont val="Calibri"/>
        <family val="2"/>
        <scheme val="minor"/>
      </rPr>
      <t>• Step 5</t>
    </r>
    <r>
      <rPr>
        <sz val="12"/>
        <color theme="1"/>
        <rFont val="Calibri"/>
        <family val="2"/>
        <scheme val="minor"/>
      </rPr>
      <t xml:space="preserve">. Risk mitigation: </t>
    </r>
    <r>
      <rPr>
        <b/>
        <sz val="12"/>
        <color theme="1"/>
        <rFont val="Calibri"/>
        <family val="2"/>
        <scheme val="minor"/>
      </rPr>
      <t>Range C13 to M13</t>
    </r>
    <r>
      <rPr>
        <sz val="12"/>
        <color theme="1"/>
        <rFont val="Calibri"/>
        <family val="2"/>
        <scheme val="minor"/>
      </rPr>
      <t xml:space="preserve"> in the Risk Mitigation Sheet provides the opportunity to write the mitigation measures for each identified hazard adopted following the assessment.
</t>
    </r>
  </si>
  <si>
    <t xml:space="preserve">
</t>
  </si>
  <si>
    <t>Date of the Assessment</t>
  </si>
  <si>
    <t>Point of Entry name</t>
  </si>
  <si>
    <t>Address</t>
  </si>
  <si>
    <t>Telephone</t>
  </si>
  <si>
    <t>Fax</t>
  </si>
  <si>
    <t>Email</t>
  </si>
  <si>
    <t>Web address</t>
  </si>
  <si>
    <t>GPS code</t>
  </si>
  <si>
    <t>Designated (Yes/No)</t>
  </si>
  <si>
    <t>Category (1, 2 or 3 according to WHO categorization)</t>
  </si>
  <si>
    <t>National level</t>
  </si>
  <si>
    <t>Intermediate level</t>
  </si>
  <si>
    <t>Local level</t>
  </si>
  <si>
    <t>Ground crossing level</t>
  </si>
  <si>
    <t>Contact person details</t>
  </si>
  <si>
    <t>Name</t>
  </si>
  <si>
    <t>Contact Person details</t>
  </si>
  <si>
    <t>HAZARD 1</t>
  </si>
  <si>
    <t>HAZARD 2</t>
  </si>
  <si>
    <t>HAZARD 3</t>
  </si>
  <si>
    <t>HAZARD 4</t>
  </si>
  <si>
    <t>HAZARD 5</t>
  </si>
  <si>
    <t>HAZARD 6</t>
  </si>
  <si>
    <t>HAZARD 7</t>
  </si>
  <si>
    <t>HAZARD 8</t>
  </si>
  <si>
    <t>HAZARD 9</t>
  </si>
  <si>
    <t>HAZARD 10</t>
  </si>
  <si>
    <t>Guiding factors to take into consideration when determining exposure:</t>
  </si>
  <si>
    <t>QUESTIONS</t>
  </si>
  <si>
    <t>YES / NO</t>
  </si>
  <si>
    <t>Score</t>
  </si>
  <si>
    <t>NO</t>
  </si>
  <si>
    <t>Is a large number of people could  contact a disease or get infected due to lack of immunity (i.e. the susceptible population at risk) in case of a biological hazard  at the ground crossing?</t>
  </si>
  <si>
    <t>Is the population density in  adjacent community area  high?</t>
  </si>
  <si>
    <t>Are  people living in the high-risk area of ground crossing and adjacent border communities?</t>
  </si>
  <si>
    <t>Are the modalities of interactions between ommunities on either side of a ground crossing with travellers is high?</t>
  </si>
  <si>
    <t>TOTAL SCORE</t>
  </si>
  <si>
    <t>YES / NO/NA</t>
  </si>
  <si>
    <t>Are the high-risk areas likely to be affected by the consequences of the identified health hazard?</t>
  </si>
  <si>
    <t>YES</t>
  </si>
  <si>
    <t>Could a large number of people contract a disease or become infected due to lack of immunity (i.e. the susceptible population at risk) in the case of a biological hazard at the ground crossing?</t>
  </si>
  <si>
    <t>Is the population density in adjacent community areas high?</t>
  </si>
  <si>
    <t>Are large numbers of people living in the high-risk areas of the ground crossing and adjacent border communities?</t>
  </si>
  <si>
    <t>Is there a high level of interaction between communities on either side of the ground crossing and travellers?</t>
  </si>
  <si>
    <r>
      <t xml:space="preserve"> The assigned score from 1 to 5 would be as follows:
</t>
    </r>
    <r>
      <rPr>
        <sz val="12"/>
        <color theme="1"/>
        <rFont val="Calibri"/>
        <family val="2"/>
        <scheme val="minor"/>
      </rPr>
      <t>1. Very low exposure 
2. Low exposure
3. Moderate exposure
4. High exposure
5. Very high exposure</t>
    </r>
    <r>
      <rPr>
        <b/>
        <sz val="12"/>
        <color theme="1"/>
        <rFont val="Calibri"/>
        <family val="2"/>
        <scheme val="minor"/>
      </rPr>
      <t xml:space="preserve">
</t>
    </r>
  </si>
  <si>
    <t xml:space="preserve">Idenfied priority hazards </t>
  </si>
  <si>
    <t>HAZARD   1</t>
  </si>
  <si>
    <t>HAZARD  2</t>
  </si>
  <si>
    <t>HAZARD  3</t>
  </si>
  <si>
    <t>HAZARD  5</t>
  </si>
  <si>
    <t>HAZARD  6</t>
  </si>
  <si>
    <t>HAZARD  7</t>
  </si>
  <si>
    <t>HAZARD  8</t>
  </si>
  <si>
    <t>HAZARD  9</t>
  </si>
  <si>
    <t>HAZARD  10</t>
  </si>
  <si>
    <t>Hazard name</t>
  </si>
  <si>
    <t>Vulnerability   Level</t>
  </si>
  <si>
    <t xml:space="preserve"> Yes / No (for the first question)
High, Medium or Low (for the second and third questions)
</t>
  </si>
  <si>
    <t>How is the immunity status among  the exposed or infected population and travellers to the hazard ?</t>
  </si>
  <si>
    <t>Is the infectivity or contamination that is characteristic of the hazard at the ground crossing high?</t>
  </si>
  <si>
    <t>How frequent are the medium- and long-term consequences of exposure to the hazard or infection among the exposed or infected population and travellers?</t>
  </si>
  <si>
    <t>Low</t>
  </si>
  <si>
    <t>What is the extent of mortality among the exposed or infected population and travellers?</t>
  </si>
  <si>
    <t xml:space="preserve">High </t>
  </si>
  <si>
    <t>Medium</t>
  </si>
  <si>
    <t xml:space="preserve"> The assigned score from 1 to 5 would be as follows: 
1. Very low severity
2. Low severity
3. Moderate severity
4. High severity
5. Very high severity
</t>
  </si>
  <si>
    <t>Identified priority hazards</t>
  </si>
  <si>
    <t>Severity Level</t>
  </si>
  <si>
    <t>Questions</t>
  </si>
  <si>
    <t>Yes/Completed
Maybe/In Progress
No</t>
  </si>
  <si>
    <t xml:space="preserve"> Score</t>
  </si>
  <si>
    <t>Comments</t>
  </si>
  <si>
    <t>No</t>
  </si>
  <si>
    <t xml:space="preserve">Yes / Completed
 </t>
  </si>
  <si>
    <t>the ground crossing?</t>
  </si>
  <si>
    <t>Emergency plans</t>
  </si>
  <si>
    <t xml:space="preserve">Have ground crossings been incorporated into community/national public health emergency plans?
</t>
  </si>
  <si>
    <t xml:space="preserve">Have emergency planning exercises for ground crossings been conducted?
</t>
  </si>
  <si>
    <t xml:space="preserve">Are exercises conducted on traveller screening activities for early detection of cases?
</t>
  </si>
  <si>
    <t xml:space="preserve">Are there any cross-border communication protocols for sharing disease information?
</t>
  </si>
  <si>
    <t xml:space="preserve">Do up-to-date emergency contact lists exist within the country?
</t>
  </si>
  <si>
    <t xml:space="preserve">Do up-to-date emergency contact lists exist of countries on both sides of the ground crossing?
</t>
  </si>
  <si>
    <t xml:space="preserve">Have ground crossings been integrated into the community/national communication protocol?
</t>
  </si>
  <si>
    <t>Have standard operating procedures been established for the detection, investigation and management of cases and affected conveyances (e.g. exit screening)?</t>
  </si>
  <si>
    <t>Total capacity</t>
  </si>
  <si>
    <t>Variable</t>
  </si>
  <si>
    <t>Total score</t>
  </si>
  <si>
    <t xml:space="preserve">Very high </t>
  </si>
  <si>
    <t>125  -   156</t>
  </si>
  <si>
    <t>93  -   124</t>
  </si>
  <si>
    <t>Partial</t>
  </si>
  <si>
    <t>62  -   91</t>
  </si>
  <si>
    <t xml:space="preserve">Low </t>
  </si>
  <si>
    <t>32 -  61</t>
  </si>
  <si>
    <t>Very low</t>
  </si>
  <si>
    <t>0  -  31</t>
  </si>
  <si>
    <t>Final score</t>
  </si>
  <si>
    <t>Capacity level</t>
  </si>
  <si>
    <t>Are there any interactions at ground crossings and in the border region that facilitate the introduction/spread of diseases to the bordering countries?</t>
  </si>
  <si>
    <t>Is the hazard highly infectious?</t>
  </si>
  <si>
    <t>Is there any past evidence of local spread within the border region?</t>
  </si>
  <si>
    <t>Is there any past evidence of an event caused by environmental contamination associated with this specific hazard (biological, zoonotic, chemical or radiological) that has the potential to spread across borders?</t>
  </si>
  <si>
    <t>Is the event at a ground crossing or in a border region with intense international traffic and limited capacity for sanitary control or environmental disinfection and decontamination?</t>
  </si>
  <si>
    <r>
      <rPr>
        <b/>
        <sz val="12"/>
        <color theme="1"/>
        <rFont val="Calibri"/>
        <family val="2"/>
        <scheme val="minor"/>
      </rPr>
      <t xml:space="preserve">
The assigned score from 1 to 5 would be as follows:</t>
    </r>
    <r>
      <rPr>
        <sz val="12"/>
        <color theme="1"/>
        <rFont val="Calibri"/>
        <family val="2"/>
        <scheme val="minor"/>
      </rPr>
      <t xml:space="preserve">
1. Very unlikely
2. Unlikely
3. Likely
4. Very likely
1 5. Almost certain
</t>
    </r>
  </si>
  <si>
    <t>Likelihood  level</t>
  </si>
  <si>
    <t xml:space="preserve">Hazard 1 </t>
  </si>
  <si>
    <t>Hazard 2</t>
  </si>
  <si>
    <t>Hazard 3</t>
  </si>
  <si>
    <t>Hazard 4</t>
  </si>
  <si>
    <t>Hazard 5</t>
  </si>
  <si>
    <t>Hazard 6</t>
  </si>
  <si>
    <t>Hazard 7</t>
  </si>
  <si>
    <t>Hazard 8</t>
  </si>
  <si>
    <t>Hazard 9</t>
  </si>
  <si>
    <t>Hazard 10</t>
  </si>
  <si>
    <t xml:space="preserve"> Hazard name</t>
  </si>
  <si>
    <t>Exposure</t>
  </si>
  <si>
    <t>Impact</t>
  </si>
  <si>
    <t>Rounding line</t>
  </si>
  <si>
    <t>RISK MATRIX GUIDE</t>
  </si>
  <si>
    <t>Likelihood of hazard occurring</t>
  </si>
  <si>
    <t xml:space="preserve">Almost certain  </t>
  </si>
  <si>
    <t xml:space="preserve">Very likely  </t>
  </si>
  <si>
    <t xml:space="preserve">Likely  </t>
  </si>
  <si>
    <t xml:space="preserve">Unlikely  </t>
  </si>
  <si>
    <t>Very unlikely</t>
  </si>
  <si>
    <t xml:space="preserve">Very low  </t>
  </si>
  <si>
    <t xml:space="preserve"> Low </t>
  </si>
  <si>
    <t xml:space="preserve">Moderate </t>
  </si>
  <si>
    <t xml:space="preserve"> High </t>
  </si>
  <si>
    <t xml:space="preserve"> Very high</t>
  </si>
  <si>
    <t>Consequences of hazard occurring (impact)</t>
  </si>
  <si>
    <t>RISK MATRIX HAZARD 1</t>
  </si>
  <si>
    <t>RISK MATRIX HAZARD 2</t>
  </si>
  <si>
    <t>RISK MATRIX HAZARD 3</t>
  </si>
  <si>
    <t>RISK MATRIX HAZARD 4</t>
  </si>
  <si>
    <t>RISK MATRIX HAZARD 5</t>
  </si>
  <si>
    <t>RISK MATRIX HAZARD 6</t>
  </si>
  <si>
    <t>RISK MATRIX HAZARD 7</t>
  </si>
  <si>
    <t>RISK MATRIX HAZARD 8</t>
  </si>
  <si>
    <t>RISK MATRIX HAZARD 9</t>
  </si>
  <si>
    <t>RISK MATRIX HAZARD 10</t>
  </si>
  <si>
    <t>HAZARD COLOUR</t>
  </si>
  <si>
    <t>Scoring</t>
  </si>
  <si>
    <t xml:space="preserve">Very low exposed
</t>
  </si>
  <si>
    <t xml:space="preserve">Low exposed
</t>
  </si>
  <si>
    <t xml:space="preserve">Moderate exposed
</t>
  </si>
  <si>
    <t xml:space="preserve">High exposed
</t>
  </si>
  <si>
    <t>Very high exposed</t>
  </si>
  <si>
    <t>Likelihood</t>
  </si>
  <si>
    <t>Unlikely</t>
  </si>
  <si>
    <t>Likely</t>
  </si>
  <si>
    <t>Very likely</t>
  </si>
  <si>
    <t>Almost certain</t>
  </si>
  <si>
    <t>Severity</t>
  </si>
  <si>
    <t>Very low severity</t>
  </si>
  <si>
    <t>Low severity</t>
  </si>
  <si>
    <t>Moderate severity</t>
  </si>
  <si>
    <t>High severity</t>
  </si>
  <si>
    <t>Not available</t>
  </si>
  <si>
    <t>Very high severity</t>
  </si>
  <si>
    <t>Capacity</t>
  </si>
  <si>
    <t>61  -   49</t>
  </si>
  <si>
    <t xml:space="preserve">Maybe / In progress
 </t>
  </si>
  <si>
    <t>48  -   37</t>
  </si>
  <si>
    <t>36  -   25</t>
  </si>
  <si>
    <t>24  -  13</t>
  </si>
  <si>
    <t>12  -  0</t>
  </si>
  <si>
    <t xml:space="preserve">Very low </t>
  </si>
  <si>
    <t>GREEN</t>
  </si>
  <si>
    <t>YELLOW</t>
  </si>
  <si>
    <t>RED</t>
  </si>
  <si>
    <t>NO COLOUR</t>
  </si>
  <si>
    <t>NO COLOR</t>
  </si>
  <si>
    <t>يجب أن يقرر فريق التقييم إجراءات تخفيف المخاطر المطلوبة، بالإضافة إلى الحد الأدنى وإجراءات الاستعداد الإضافية.
ينبغي لفريق التقييم أن يعطي الأولوية لأنشطة تنمية القدرات التي يحركها المستوى العام للمخاطر (الاحتمال × التأثير)، على النحو الذي تحدده عملية توصيف المخاطر باتباع دليل تدابير التخفيف أدناه</t>
  </si>
  <si>
    <t>دليل تدابير التخفيف</t>
  </si>
  <si>
    <t xml:space="preserve">احتمالية وتأثير كل خطر
</t>
  </si>
  <si>
    <t>إجراءات تخفيف المخاطر</t>
  </si>
  <si>
    <t>Capacities/examplesالقدرات/الأمثلة</t>
  </si>
  <si>
    <t>Minimum preparedness actions (ground crossing capacity development activities)إجراءات الاستعداد الدنيا (أنشطة تنمية قدرات المعابر البريه)</t>
  </si>
  <si>
    <t>Ongoing monitoring of the hazards to determine that the impact or likelihood does not increase.المراقبة المستمرة للمخاطر لتحديد أن التأثير أو الاحتمالية لا تزيد.</t>
  </si>
  <si>
    <t>Additional preparedness actions: minimum preparedness  actions, plus:إجراءات الاستعداد الإضافية: الحد الأدنى من إجراءات الاستعداد، بالإضافة إلى:</t>
  </si>
  <si>
    <t>Provision for adequate capacities are prioritized due to the high impact of occurrence and/or likelihood. Refer to the previous assessment of coping capacities to assist with this prioritization.يتم إعطاء الأولوية لتوفير القدرات الكافية نظرًا للتأثير الكبير لحدوثها و/أو احتمال حدوثها. ارجع إلى التقييم السابق لقدرات المواجهة للمساعدة في تحديد الأولويات.</t>
  </si>
  <si>
    <t>Risk mitigation actions: any additional preparedness actions, plus:إجراءات تخفيف المخاطر: أي إجراءات استعداد إضافية، بالإضافة إلى:</t>
  </si>
  <si>
    <t>Hazards that are characterized as having both high impact and high likelihood should receive the highest priority for capacity development and should be specifically identified in contingency plans.إن المخاطر التي توصف بأنها ذات تأثير كبير واحتمال كبير يجب أن تحظى بالأولوية القصوى لتنمية القدرات وينبغي تحديدها على وجه التحديد في خطط الطوارئ.</t>
  </si>
  <si>
    <t>MITIGATION MEASURES تدابير التخفيف</t>
  </si>
  <si>
    <r>
      <t>Contact</t>
    </r>
    <r>
      <rPr>
        <b/>
        <sz val="12"/>
        <color rgb="FF000000"/>
        <rFont val="Calibri"/>
        <family val="2"/>
        <scheme val="minor"/>
      </rPr>
      <t xml:space="preserve"> details of Health Competent Authority agency بيانات الاتصال بالجهة المختصة بالصحة</t>
    </r>
  </si>
  <si>
    <r>
      <t>Contact</t>
    </r>
    <r>
      <rPr>
        <b/>
        <sz val="12"/>
        <color rgb="FF000000"/>
        <rFont val="Calibri"/>
        <family val="2"/>
        <scheme val="minor"/>
      </rPr>
      <t xml:space="preserve"> details of Competent Authority agency بيانات الاتصال بالجهة المختصة </t>
    </r>
  </si>
  <si>
    <t>Listing of all existing or emerging hazards which – on the basis of public health event data – have the potential to cause a health emergency and that may have an impact on the ground crossing. Hazards may be biological, chemical, physical or radiological. قائمة بجميع المخاطر الحالية أو الناشئة التي - بناءً على بيانات الأحداث الصحية العامة - لديها القدرة على التسبب في حالة طوارئ صحية وقد يكون لها تأثير على عبور الطريق البري. قد تكون المخاطر بيولوجية أو كيميائية أو فيزيائية أو إشعاعية.</t>
  </si>
  <si>
    <t>1.     Assess burden of diseases factors. Review records such as: تقييم عوامل عبء الأمراض. مراجعة سجلات مثل</t>
  </si>
  <si>
    <r>
      <t>·</t>
    </r>
    <r>
      <rPr>
        <sz val="12"/>
        <color theme="1"/>
        <rFont val="Times New Roman"/>
        <family val="1"/>
      </rPr>
      <t xml:space="preserve">   </t>
    </r>
    <r>
      <rPr>
        <sz val="12"/>
        <color theme="1"/>
        <rFont val="Calibri"/>
        <family val="2"/>
        <scheme val="minor"/>
      </rPr>
      <t>epidemiological studies; دراسات الاوبئة</t>
    </r>
  </si>
  <si>
    <r>
      <t>·</t>
    </r>
    <r>
      <rPr>
        <sz val="12"/>
        <color theme="1"/>
        <rFont val="Times New Roman"/>
        <family val="1"/>
      </rPr>
      <t xml:space="preserve">   </t>
    </r>
    <r>
      <rPr>
        <sz val="12"/>
        <color theme="1"/>
        <rFont val="Calibri"/>
        <family val="2"/>
        <scheme val="minor"/>
      </rPr>
      <t>clinical data; البيانات السريرية</t>
    </r>
  </si>
  <si>
    <r>
      <t>·</t>
    </r>
    <r>
      <rPr>
        <sz val="12"/>
        <color theme="1"/>
        <rFont val="Times New Roman"/>
        <family val="1"/>
      </rPr>
      <t xml:space="preserve">   </t>
    </r>
    <r>
      <rPr>
        <sz val="12"/>
        <color theme="1"/>
        <rFont val="Calibri"/>
        <family val="2"/>
        <scheme val="minor"/>
      </rPr>
      <t>health-care system data; بيانات نظام الرعاية الصحية</t>
    </r>
  </si>
  <si>
    <r>
      <t>·</t>
    </r>
    <r>
      <rPr>
        <sz val="12"/>
        <color theme="1"/>
        <rFont val="Times New Roman"/>
        <family val="1"/>
      </rPr>
      <t xml:space="preserve">   </t>
    </r>
    <r>
      <rPr>
        <sz val="12"/>
        <color theme="1"/>
        <rFont val="Calibri"/>
        <family val="2"/>
        <scheme val="minor"/>
      </rPr>
      <t xml:space="preserve">existing mapping data on the distribution of high-consequence communicable disease; and بيانات رسم الخرائط الحالية حول توزيع الأمراض المعدية ذات العواقب الوخيمة؛ </t>
    </r>
  </si>
  <si>
    <r>
      <t>·</t>
    </r>
    <r>
      <rPr>
        <sz val="12"/>
        <color theme="1"/>
        <rFont val="Times New Roman"/>
        <family val="1"/>
      </rPr>
      <t xml:space="preserve">   </t>
    </r>
    <r>
      <rPr>
        <sz val="12"/>
        <color theme="1"/>
        <rFont val="Calibri"/>
        <family val="2"/>
        <scheme val="minor"/>
      </rPr>
      <t xml:space="preserve">surveillance data and trends.بيانات الترصد و الميل لحدوث الاوبئة </t>
    </r>
  </si>
  <si>
    <t>2.     Evaluate data and linkages between available public health data, literature reviews, studies and academic/research information. تقييم البيانات والارتباطات بين بيانات الصحة العامة المتاحة ومراجعات الأدبيات والدراسات والمعلومات الأكاديمية / البحثية.</t>
  </si>
  <si>
    <t>3.     Review immunization registries, vital statistics, and note any disparities. قم بمراجعة سجلات التحصين والإحصاءات الحيوية ولاحظ أي فوارق.</t>
  </si>
  <si>
    <t>4.     Identify type of hazard. تحديد نوع الخطر</t>
  </si>
  <si>
    <t>EXISTING AND EMERGING HAZARD NAME تسمية الخطر</t>
  </si>
  <si>
    <r>
      <t xml:space="preserve">Exposure: التعرض:
بالنسبة لكل خطر محتمل (بيولوجي أو كيميائي أو فيزيائي أو إشعاعي)، قم بتقييم التعرضات المحتملة للأفراد والسكان للمخاطر المحددة في تقييم المخاطر. بالتشاور مع الخبراء المحليين وأصحاب المصلحة والمصادر المحلية للمعلومات، يجب على فريق تقييم المخاطر الاستراتيجية استخدام سلسلة من العوامل التوجيهية وأي معلومات أخرى ذات صلة محلية حول الخطر لتعيين درجة تعرض تتراوح من 1 إلى 5 للخطر. ستكون الدرجة ذاتية وستستند إلى أفضل المعلومات المتوفرة والدقيقة والحديثة
</t>
    </r>
    <r>
      <rPr>
        <sz val="12"/>
        <color rgb="FF000000"/>
        <rFont val="Calibri"/>
        <family val="2"/>
        <scheme val="minor"/>
      </rPr>
      <t>For each possible hazard (biological, chemical, physical or radiological), evaluate the potential exposures of individuals and populations to the hazards identified in the hazard assessment. In consultation with local experts, stakeholders and local sources of information, the strategic risk assessment team should use a series of guiding factors and any other locally relevant information about the hazard to assign an exposure score of 1 to 5 to the hazard. The score will be subjective and will be based on the best available, accurate and recent information.
The exposure score will be used to determine the level of impact of the hazard.</t>
    </r>
    <r>
      <rPr>
        <b/>
        <sz val="12"/>
        <color rgb="FF000000"/>
        <rFont val="Calibri"/>
        <family val="2"/>
        <scheme val="minor"/>
      </rPr>
      <t xml:space="preserve">
</t>
    </r>
  </si>
  <si>
    <t xml:space="preserve">• Identify geographical areas that are likely to be affected by the health consequences and distribution factors (e.g. the number and location of chemical plants and the chemicals they use). • تحديد المناطق الجغرافية التي من المرجح أن تتأثر بالعواقب الصحية وعوامل التوزيع (على سبيل المثال عدد وموقع المصانع الكيميائية والمواد الكيميائية التي تستخدمها).
• Identify and estimate the number of exposed persons at a ground crossing who may contract a disease or who could become infected due to lack of immunity (i.e. the susceptible population at risk) in the case of a biological hazard. تحديد وتقدير عدد الأشخاص المعرضين عند المعبر البري والذين قد يصابون بالمرض أو الذين يمكن أن يصابوا بالعدوى بسبب نقص المناعة (أي السكان المعرضين للخطر) في حالة وجود خطر بيولوجي.
• Identify and estimate the size and density of communities near the ground crossing or along associated transit routes.  تحديد وتقدير حجم وكثافة المجتمعات القريبة من المعبر البري أو على طول طرق العبور المرتبطة به.
• Identify and estimate the number of people living in the high-risk area of the ground crossing and adjacent border communities in the case of a chemical or radiological hazard. Note:  تحديد وتقدير عدد الأشخاص الذين يعيشون في المنطقة شديدة الخطورة للمعبر البري والمجتمعات الحدودية المجاورة في حالة وجود خطر كيميائي أو إشعاعي. ملحوظة
• duration of exposure; and مدة التعرض
• risk of exposure to chemical or radiological substances, or vulnerability to natural disasters. خطر التعرض للمواد الكيميائية أو الإشعاعية، أو التعرض للكوارث الطبيعي
• Identify the modality of interactions between communities on either side of a ground crossing with travellers, cargoes and conveyances moving across borders.  التعرف على طريقة التفاعل بين المجتمعات على جانبي المعبر البري مع المسافرين والبضائع ووسائل النقل التي تتحرك عبر الحدود.
The assessment team should use the information collected to answer, for each possible hazard, the five questions that are below. Each question should be answered by either YES or NO. YES scores 1 and NO scores 0. يجب على فريق التقييم استخدام المعلومات التي تم جمعها للإجابة عن الأسئلة الخمسة أدناه لكل خطر محتمل. يجب الإجابة على كل سؤال إما بنعم أو لا. تحصل الإجابة بنعم على 1 وتحصل الإجابة بلا على 0.
Click on the drop-down tab in the cell in front of the question to choose the answer. Following this action, the score will appear in the next cell on the same line. When all five questions have been answered, the total vulnerability score for the identified hazard will appear in the cell next to the "TOTAL SCORE" cell. This score will also appear on line 103 while the vulnerability level will appear on line 104 under the column assigned to the identified hazard. انقر فوق علامة التبويب المنسدلة في الخلية الموجودة أمام السؤال لاختيار الإجابة. بعد هذا الإجراء، ستظهر النتيجة في الخلية التالية على نفس السطر. عندما تتم الإجابة على جميع الأسئلة الخمسة، ستظهر درجة الضعف الإجمالية للخطر المحدد في الخلية بجوار خلية ""النتيجة الإجمالية"". ستظهر هذه النتيجة أيضًا على السطر 103 بينما سيظهر مستوى الضعف على السطر 104 أسفل العمود المخصص للخطر المحدد.
The assigned score from 1 to 5 would be as follows: ستكون النتيجة المخصصة من 1 إلى 5 على النحو التالي:
1. Very low exposure تعريض منخفض جدا
2 2. Low exposure تعريض منخفض
3 3. Moderate exposure تعرض متوسط
4 4. High exposure تعرض عالي
5 5. Very high exposure تعرض عالي جدا
</t>
  </si>
  <si>
    <t>Are the hight risk area likely to be affected by the consequence of the identify health hazard identified? هل من المرجح أن تتأثر المنطقة ذات الخطورة العالية بعواقب تحديد المخاطر الصحية التي تم تحديدها؟</t>
  </si>
  <si>
    <t>Could a large number of people contract a disease or become infected due to lack of immunity (i.e. the susceptible population at risk) in the case of a biological hazard at the ground crossing? هل يمكن أن يصاب عدد كبير من الأشخاص بمرض أو يصابون به بسبب نقص المناعة (أي السكان المعرضين للخطر) في حالة وجود خطر بيولوجي عند عبور الحدود البرية؟</t>
  </si>
  <si>
    <t>Are the high-risk areas likely to be affected by the consequences of the identified health hazard? هل من المحتمل أن تتأثر المناطق المعرضة للخطر بعواقب المخاطر الصحية التي تم تحديدها؟</t>
  </si>
  <si>
    <t>Is the population density in adjacent community areas high? هل الكثافة السكانية في المناطق المجتمعية المجاورة عالية؟</t>
  </si>
  <si>
    <t>Are large numbers of people living in the high-risk areas of the ground crossing and adjacent border communities? ل يعيش عدد كبير من الأشخاص في المناطق عالية الخطورة على الأرض ويعبرون المجتمعات الحدودية المجاورة</t>
  </si>
  <si>
    <t>Is there a high level of interaction between communities on either side of the ground crossing and travellers? "هل هناك مستوى عالٍ من التفاعل بين المجتمعات على جانبي معبر الحدود البري والمسافرين؟</t>
  </si>
  <si>
    <r>
      <t xml:space="preserve">Exposure: </t>
    </r>
    <r>
      <rPr>
        <sz val="12"/>
        <color rgb="FF000000"/>
        <rFont val="Calibri"/>
        <family val="2"/>
        <scheme val="minor"/>
      </rPr>
      <t>For each possible hazard (biological, chemical, physical or radiological), evaluate the potential exposures of individuals and populations to the hazards identified in the hazard assessment.
In consultation with local experts, stakeholders and local sources of information the strategic risk assessment team should use a series of guiding factors and any other locally relevant information about the hazard to assign an exposure score of 1 to 5 to the hazard. The score will be subjective and will be based on the best available, accurate and recent information on the following factors in order to support the severity assessment: لتعرض: بالنسبة لكل خطر محتمل (بيولوجي أو كيميائي أو فيزيائي أو إشعاعي)، قم بتقييم التعرضات المحتملة للأفراد والسكان للمخاطر المحددة في تقييم المخاطر.
بالتشاور مع الخبراء المحليين وأصحاب المصلحة والمصادر المحلية للمعلومات، يجب على فريق تقييم المخاطر الاستراتيجية استخدام سلسلة من العوامل التوجيهية وأي معلومات أخرى ذات صلة محلية حول الخطر لتعيين درجة تعرض من 1 إلى 5 للخطر. ستكون الدرجة ذاتية وستستند إلى أفضل المعلومات المتوفرة والدقيقة والحديثة حول العوامل التالية من أجل دعم تقييم الخطورة:
• seriousness of consequences (morbidity and mortality); • خطورة العواقب (المرض والوفيات)؛
• immune status factors of the exposed population; عوامل الحالة المناعية للسكان المعرضين؛
• vector-borne diseases and related factors (e.g. distribution, density, infectivity, seasonal variations) and/or animal hosts (density, prevalence, existing control programmes) along/across borders and travel routes that have an impact on the borders.  الأمراض المنقولة بالنواقل والعوامل ذات الصلة (على سبيل المثال التوزيع والكثافة والقدرة على العدوى والاختلافات الموسمية) و/أو العوائل الحيوانية (الكثافة والانتشار وبرامج المكافحة الحالية) على طول/عبر الحدود وطرق السفر التي لها تأثير على الحدود.
The exposure score will be used to determine the level of impact of the hazard. ستستخدم درجة التعرض لتحديد مستوى تأثير الخطر.
The assessment team should use the information collected to answer, for each possible hazard, the three questions that are below. The first question should be answered by either YES or NO. YES scores 1 and NO scores 0. The second and third questions should be answered with “High”, “Medium” or “Low. “High” scores 2, “Medium” scores 1 and “Low” scores 0. يجب على فريق التقييم استخدام المعلومات التي تم جمعها للإجابة عن الأسئلة الثلاثة أدناه لكل خطر محتمل. يجب الإجابة على السؤال الأول إما بنعم أو لا. تحصل الإجابة بنعم على 1 وإجابة لا على 0. يجب الإجابة على السؤالين الثاني والثالث بـ "عالي" أو "متوسط" أو "منخفض". تحصل الإجابة بـ "عالي" على 2 وإجابة "متوسط" على 1 وإجابة "منخفض" على 0.
Click on the drop-down tab in the cell in front of the question to choose the answer. Following this action, the score will appear in the next cell on the same line. When all three questions have been answered, the total severity score for the identified hazard will appear in the cell next to the "TOTAL SCORE" cell. This score will also appear on line 81 and the severity level will appear on line 82 under the column assigned to the identified hazard. انقر فوق علامة التبويب المنسدلة في الخلية أمام السؤال لاختيار الإجابة. بعد هذا الإجراء، ستظهر النتيجة في الخلية التالية على نفس السطر. عند الإجابة على الأسئلة الثلاثة، ستظهر الدرجة الإجمالية لشدة الخطر المحدد في الخلية بجوار خلية "الدرجة الإجمالية". ستظهر هذه الدرجة أيضًا على السطر 81 وسيظهر مستوى الشدة على السطر 82 أسفل العمود المخصص للخطر المحدد.
On the basis of the severity value, the following scales can be used to rate assessed severity of the hazard: على أساس قيمة الخطورة، يمكن استخدام المقاييس التالية لتقييم الخطورة المقدرة للخطر:
1.  Very low severity شدة منخفضة جدا 
2. Low severity  شدة منخفضة
3. Moderate severity  شدة متوسطة
4. High severity شدة عالية
5. Very high severity شدة عالية جدا</t>
    </r>
    <r>
      <rPr>
        <b/>
        <sz val="12"/>
        <color rgb="FF000000"/>
        <rFont val="Calibri"/>
        <family val="2"/>
        <scheme val="minor"/>
      </rPr>
      <t xml:space="preserve">
</t>
    </r>
  </si>
  <si>
    <t>Is the infectivity or contamination that is characteristic of the hazard at the ground crossing high? هل معدل العدوى أو التلوث الذي يميز الخطر عند معبر الأرض مرتفع؟</t>
  </si>
  <si>
    <t>How frequent are the medium- and long-term consequences of exposure to the hazard or infection among the exposed or infected population and travellers? ما مدى تكرار العواقب متوسطة وطويلة الأمد الناجمة عن التعرض للخطر أو العدوى بين السكان المعرضين أو المصابين والمسافرين؟</t>
  </si>
  <si>
    <t>What is the extent of mortality among the exposed or infected population and travellers? ما هو حجم الوفيات بين السكان المعرضين أو المصابين والمسافرين؟</t>
  </si>
  <si>
    <r>
      <rPr>
        <b/>
        <sz val="12"/>
        <color theme="1"/>
        <rFont val="Calibri"/>
        <family val="2"/>
        <scheme val="minor"/>
      </rPr>
      <t>Coping capacities</t>
    </r>
    <r>
      <rPr>
        <sz val="12"/>
        <color theme="1"/>
        <rFont val="Calibri"/>
        <family val="2"/>
        <scheme val="minor"/>
      </rPr>
      <t xml:space="preserve"> refer to the capabilities of the ground crossing and border region to cope with and manage potential hazards. The guiding questions in the table below are provided to assist in evaluating existing coping capacities that should be used to manage potential hazards. The 78 questions are to be answered as “Yes/Completed”, “Maybe/In Progress” or “No” in the table below. An answer of “Yes/Completed” scores 2, “Maybe/In Progress” scores 1, and “No” scores 0. تشير قدرات التأقلم إلى قدرات منطقة عبور الحدود البرية على التأقلم مع المخاطر المحتملة وإدارتها. تم توفير الأسئلة التوجيهية في الجدول أدناه للمساعدة في تقييم قدرات التأقلم الحالية التي يجب استخدامها لإدارة المخاطر المحتملة. يجب الإجابة على الأسئلة الـ 78 بـ "نعم / مكتمل" أو "ربما / قيد التنفيذ" أو "لا" في الجدول أدناه. إجابة "نعم / مكتمل" درجتان، و"ربما / قيد التنفيذ" درجة واحدة، و"لا" درجة 0
In answering these 61 questions, the highest possible score is 156 and the lowest is 0. To reduce this score to a scale of 5 (i.e. very high, high, partial, low, very low), 156 was divided by 5, giving 31 (rounded). A step value of 31 was established between 0 and 156, giving the intervals (0–31, 32–62, 63–93,94–124, 125–156). These are aligned to the value of 1–5 and assigned to the levels of coping capacity commensurate with the hazards. Thus 1 equates to very high (i.e. the necessary capacities commensurate to the hazards are in place) and 5 equates to very low (no capacities commensurate to the hazards are in place): عند الإجابة على هذه الأسئلة الـ 61، فإن أعلى درجة ممكنة هي 156 وأقلها هي 0. لتقليل هذه الدرجة إلى مقياس من 5 (أي مرتفع جدًا، مرتفع، جزئي، منخفض، منخفض جدًا)، تم تقسيم 156 على 5، مما يعطي 31 (تقريبًا). تم تحديد قيمة خطوة 31 بين 0 و156، مع إعطاء الفواصل الزمنية (0-31، 32-62، 63-93، 94-124، 125-156). تتماشى هذه القيم مع القيمة 1-5 وتُخصص لمستويات القدرة على التكيف المتناسبة مع المخاطر. وبالتالي فإن 1 تعادل عالية جدًا (أي أن القدرات اللازمة المتناسبة مع المخاطر موجودة) و5 تعادل منخفضة جدًا (لا توجد قدرات متناسبة مع المخاطر موجودة):
1. Very high:  125–156 عالي جدا
2. High:   94–124 عالي
3. Partial: 63–93 جزئ 
4. Low:  32–62 منخفض
5. Very low: 0–31 منخفض جدا
Click on the drop-down tab in the cell in front of the question to choose the answer. Following this action, the score will appear in the next cell on the same line. Once the 78 questions have been answered, the total capacity score will appear in the cell next to the </t>
    </r>
    <r>
      <rPr>
        <b/>
        <sz val="12"/>
        <color theme="1"/>
        <rFont val="Calibri"/>
        <family val="2"/>
        <scheme val="minor"/>
      </rPr>
      <t>"TOTAL SCORE"</t>
    </r>
    <r>
      <rPr>
        <sz val="12"/>
        <color theme="1"/>
        <rFont val="Calibri"/>
        <family val="2"/>
        <scheme val="minor"/>
      </rPr>
      <t xml:space="preserve"> cell. This score will be reduced to the five scales; the final capacity score and level will appear respectively in cells E96 and E97. انقر فوق علامة التبويب المنسدلة في الخلية أمام السؤال لاختيار الإجابة. بعد هذا الإجراء، ستظهر النتيجة في الخلية التالية على نفس السطر. بمجرد الإجابة على الأسئلة الـ 78، ستظهر درجة القدرة الإجمالية في الخلية المجاورة لخلية "الدرجة الإجمالية". سيتم تقليص هذه الدرجة إلى المقاييس الخمسة؛ ستظهر درجة القدرة النهائية والمستوى على التوالي في الخليتين E96 وE97.
</t>
    </r>
  </si>
  <si>
    <t>Have any staff in the ground crossing been identified as focal points for communication with stakeholders هل تم تحديد أي موظفين في المعبر الأرضي كنقطة محورية للتواصل مع أصحاب المصلحة؟</t>
  </si>
  <si>
    <t>within the ground crossing (e.g. service providers, stakeholders, and medical facilities that provide public health services to the ground crossing)? داخل المعبر البري (على سبيل المثال مقدمي الخدمات وأصحاب المصلحة والمرافق الطبية التي تقدم خدمات الصحة العامة للمعبر البري)؟</t>
  </si>
  <si>
    <t>Has public health information been provided by the ground crossing to travellers? هل تم توفير معلومات الصحة العامة للمسافرين من خلال المعبر البري؟</t>
  </si>
  <si>
    <t>Has public health information been provided by point of entry to local communities adjacent to the ground crossing? هل تم توفير معلومات الصحة العامة عند نقطة الدخول إلى المجتمعات المحلية المجاورة للمعبر البري؟</t>
  </si>
  <si>
    <t>Has public health information been provided to the surveillance system by impacted local communities adjacent to the ground crossing ? هل تم توفير معلومات الصحة العامة لنظام المراقبة من قبل المجتمعات المحلية المتأثرة المجاورة لمعبر الأرض؟</t>
  </si>
  <si>
    <t>Has a communication mechanism been established to communicate health-related information from the ground crossing to neighbouring countries or regional disease surveillance networks? هل تم إنشاء آلية اتصال لتوصيل المعلومات المتعلقة بالصحة من المعابر البرية إلى الدول المجاورة أو شبكات مراقبة الأمراض الإقليمية؟</t>
  </si>
  <si>
    <t>Have communication mechanisms been established to communicate to all levels of government, policy-makers and stakeholders? هل تم إنشاء آليات التواصل للتواصل مع كافة مستويات الحكومة وصناع السياسات وأصحاب المصلحة؟</t>
  </si>
  <si>
    <t>Has an up-to-date emergency contact list of stakeholders been established for public health events management? هل تم إنشاء قائمة اتصال طارئة محدثة لأصحاب المصلحة لإدارة الأحداث الصحية العامة؟</t>
  </si>
  <si>
    <t>Communication التواصل</t>
  </si>
  <si>
    <t>Are standard case definitions for public health events under surveillance (e.g. diseases, symptoms) used at the ground crossing? هل يتم استخدام تعريفات الحالات القياسية للأحداث الصحية العامة الخاضعة للمراقبة (مثل الأمراض والأعراض) عند معبر الحدود البري؟</t>
  </si>
  <si>
    <t>Are standard operating procedures in place to identify suspect cases at the ground crossing? هل توجد إجراءات تشغيلية قياسية لتحديد الحالات المشتبه بها عند المعبر البري؟</t>
  </si>
  <si>
    <t>Are standard operating procedures in place to identify suspect cases within neighbouring communities? هل توجد إجراءات تشغيلية قياسية لتحديد الحالات المشتبه بها داخل المجتمعات المجاورة؟</t>
  </si>
  <si>
    <t>Does the surveillance system receive public health information from ground crossings, including the presence of ill or deceased travellers? هل يستقبل نظام المراقبة معلومات الصحة العامة من المعابر البرية، بما في ذلك وجود مسافرين مرضى أو متوفين؟</t>
  </si>
  <si>
    <t>Does the surveillance system receive environmental health information from ground crossings in relation to infection and contamination of food/water? هل يستقبل نظام المراقبة معلومات الصحة البيئية من المعابر البرية فيما يتعلق بالعدوى وتلوث الغذاء/المياه؟</t>
  </si>
  <si>
    <t>Does the surveillance system receive information in relation to vectors and reservoirs associated with vector-borne diseases? هل يتلقى نظام المراقبة معلومات تتعلق بالناقلات والخزانات المرتبطة بالأمراض التي ينقلها النواقل؟</t>
  </si>
  <si>
    <t>Does the surveillance system receive information in relation to chemical or radiological hazards? هل يتلقى نظام المراقبة معلومات تتعلق بالناقلات والخزانات المرتبطة بالأمراض التي ينقلها النواقل؟</t>
  </si>
  <si>
    <t>Have the reporting sites been established at the ground crossing? If so: هل تم إنشاء مواقع الإبلاغ عند المعبر البري؟ إذا كان الأمر كذلك:</t>
  </si>
  <si>
    <t>Have the reporting mechanisms from the ground crossing to the national level been identified? هل تم تحديد آليات الإبلاغ من المعبر البري إلى المستوى الوطني؟</t>
  </si>
  <si>
    <t>Have the reporting mechanisms from the border community to the national level been identified? هل تم تحديد آليات الإبلاغ من مجتمع الحدود إلى المستوى الوطني؟</t>
  </si>
  <si>
    <t>Have the staff of the ground crossing been trained in how to identify a potentially ill traveller? هل تم تدريب موظفي المعبر البري على كيفية تحديد المسافر المريض المحتمل؟</t>
  </si>
  <si>
    <t>Is information standardized when a public health event is reported by the ground crossing to the national surveillance system (i.e. is there a predefined list and standardized format for the variables to be reported)? هل يتم توحيد المعلومات عند الإبلاغ عن حدث صحي عام من قبل المعبر البري إلى نظام المراقبة الوطني (أي هل توجد قائمة محددة مسبقًا وتنسيق موحد للمتغيرات التي يجب الإبلاغ عنها)؟</t>
  </si>
  <si>
    <t>Has a system been established between the national surveillance system and the ground crossing for management of case-related data (including contact-tracing)? هل يتم توحيد المعلومات عند الإبلاغ عن حدث صحي عام من قبل المعبر البري إلى نظام المراقبة الوطني (أي هل توجد قائمة محددة مسبقًا وتنسيق موحد للمتغيرات التي يجب الإبلاغ عنها)؟</t>
  </si>
  <si>
    <t xml:space="preserve">Surveillance التقصي </t>
  </si>
  <si>
    <t xml:space="preserve">Structured border with administrative controls
Have travel routes (e.g. origin, destination and transit pathways) and the potential for international traffic dispersal through links to major roadways, railways, airports and ports of entry been assessed? "حدود منظمة مع ضوابط إدارية
هل تم تقييم طرق السفر (على سبيل المثال، المنشأ والوجهة ومسارات العبور) وإمكانية تشتت حركة المرور الدولية من خلال الروابط مع الطرق الرئيسية والسكك الحديدية والمطارات وموانئ الدخول؟
</t>
  </si>
  <si>
    <t xml:space="preserve"> An open/porous border
Have the critical access points from one country to another along the border been identified in order to understand the movement dynamics of travellers, goods and cargo? حدود مفتوحة/مسامية
هل تم تحديد نقاط الوصول الحرجة من بلد إلى آخر على طول الحدود من أجل فهم ديناميكيات حركة المسافرين والسلع والبضائع؟
</t>
  </si>
  <si>
    <t xml:space="preserve"> An open/porous border
Have the critical points of congregation where cross-border travellers may interact with other travellers and/or adjacent border communities been identified? "حدود مفتوحة/مسامية
هل تم تحديد نقاط التجمع الحرجة حيث قد يتفاعل المسافرون عبر الحدود مع مسافرين آخرين و/أو مجتمعات حدودية مجاورة؟
 </t>
  </si>
  <si>
    <t xml:space="preserve"> An open/porous border
• Are the points of access and of congregation prioritized on the basis of estimates of traveller volume? "حدود مفتوحة/مسامية
• هل يتم تحديد نقاط الوصول ونقاط التجمع على أساس تقديرات حجم المسافرين؟
</t>
  </si>
  <si>
    <t>Cross- Border movement  mapping "رسم خريطة الحركة عبر الحدود
"</t>
  </si>
  <si>
    <t xml:space="preserve">Could any local cultural practices along the border region (i.e. burial practices) increase the hazard? "هل يمكن أن تؤدي أي ممارسات ثقافية محلية على طول منطقة الحدود (أي ممارسات الدفن) إلى زيادة الخطر؟
</t>
  </si>
  <si>
    <t xml:space="preserve">Have health-seeking practices been identified among the border communities? هل تم تحديد ممارسات تسعى إلى الحفاظ على الصحة بين مجتمعات الحدود؟
</t>
  </si>
  <si>
    <t xml:space="preserve">Are there social or behavioural considerations? هل هناك اعتبارات اجتماعية أو سلوكية؟
</t>
  </si>
  <si>
    <t xml:space="preserve">Have any ethical concerns of note been identified? هل تم تحديد أي مخاوف أخلاقية جديرة بالملاحظة؟
</t>
  </si>
  <si>
    <t>lHas the communit+C67:C84y’s general level of acceptance of potential control measures been considered? هل تم النظر في المستوى العام لقبول المجتمع لتدابير السيطرة المحتملة؟</t>
  </si>
  <si>
    <t>Community engagement إشراك المجتمعات</t>
  </si>
  <si>
    <t xml:space="preserve">Vaccination and prophylaxis التطعيمات و الوقاية </t>
  </si>
  <si>
    <t xml:space="preserve">Are the vaccination requirements of the country published? "هل تم نشر متطلبات التطعيم في الدولة؟
</t>
  </si>
  <si>
    <t xml:space="preserve">Have these requirements been communicated to the bordering countries? "هل تم إبلاغ هذه المتطلبات إلى الدول المجاورة؟
</t>
  </si>
  <si>
    <t xml:space="preserve">Are records of vaccination required at point of entry?"هل سجلات التطعيم مطلوبة عند نقطة الدخول؟
</t>
  </si>
  <si>
    <t xml:space="preserve">Are there any vaccination or prophylaxis services for travellers at the ground "هل توجد أي خدمات تطعيم أو وقاية للمسافرين عند المعبر البري؟
crossing?
</t>
  </si>
  <si>
    <t xml:space="preserve">Are there any vaccination or prophylaxis services for the border region? "هل توجد أي خدمات تطعيم أو وقاية لمنطقة الحدود؟
</t>
  </si>
  <si>
    <t xml:space="preserve">Do contingency plans for mass vaccination exist? "
"هل توجد خطط طوارئ للتطعيم الجماعي؟
</t>
  </si>
  <si>
    <t>Has the general health status of the communities near the ground crossing or along transit routes that are linked to the ground crossing been considered (i.e. malnutrition, vaccination rates)? هل تم النظر في الحالة الصحية العامة للمجتمعات القريبة من المعبر البري أو على طول طرق العبور المرتبطة بالمعبر البري (أي سوء التغذية ومعدلات التطعيم)؟</t>
  </si>
  <si>
    <t>Has a communication mechanism been established for exchanging information and maps of livestock migration routes and border livestock markets at ground crossings where livestock are imported or exported? هل تم إنشاء آلية اتصال لتبادل المعلومات والخرائط الخاصة بمسارات هجرة الماشية وأسواق الماشية الحدودية عند المعابر البرية حيث يتم استيراد أو تصدير الماشية؟</t>
  </si>
  <si>
    <t xml:space="preserve">Is there access to diagnosis of emerging and re-emerging zoonotic diseases for both human and animal sectors? "هل هناك إمكانية الوصول إلى تشخيص الأمراض الحيوانية الناشئة والمتجددة لكل من القطاعين البشري والحيواني؟
</t>
  </si>
  <si>
    <t>Is there access to veterinary services for conducting quarantine and isolation of affected animals detected among imported/exported animals at ground crossings (e.g. are there services for decontamination, disinfection and treatment of affected animals)? هل هناك إمكانية الوصول إلى الخدمات البيطرية لإجراء الحجر الصحي وعزل الحيوانات المصابة التي تم اكتشافها بين الحيوانات المستوردة / المصدرة عند المعابر البرية (على سبيل المثال، هل هناك خدمات لإزالة التلوث وتطهير وعلاج الحيوانات المصابة)؟</t>
  </si>
  <si>
    <t>One Health الصحة الواحدة</t>
  </si>
  <si>
    <t>Vectors نواقل الامراض</t>
  </si>
  <si>
    <t xml:space="preserve">Have vectors of public health significance been identified? "هل تم تحديد نواقل ذات أهمية للصحة العامة؟
</t>
  </si>
  <si>
    <t xml:space="preserve">Do data exist on the epidemiological context and the local entomological situation at the ground crossing and in the border region? هل توجد بيانات عن السياق الوبائي والوضع الحشري المحلي عند المعبر البري وفي منطقة الحدود؟
"
</t>
  </si>
  <si>
    <t xml:space="preserve">Is a vector control programme in place at the ground crossing? "هل يوجد برنامج لمكافحة النواقل عند المعبر البري؟
</t>
  </si>
  <si>
    <t xml:space="preserve">Is a vector control programme in place in the border region? "هل يوجد برنامج لمكافحة النواقل في منطقة الحدود؟
</t>
  </si>
  <si>
    <t>Has information on the vector control programme in one country been shared with the neighbouring country? هل تمت مشاركة المعلومات المتعلقة ببرنامج مكافحة النواقل في بلد واحد مع البلد المجاور؟</t>
  </si>
  <si>
    <t xml:space="preserve">Are environmental health programmes established near or at the ground crossing and in communities linked to the ground crossing by transportation routes? Do the programmes include: هل تم وضع برامج الصحة البيئية بالقرب من المعبر البري أو عنده وفي المجتمعات المرتبطة بالمعبر البري من خلال طرق النقل؟ هل تشمل البرامج:
- potable water safety;  سلامة المياه الصالحة للشرب؛
-  vector control; مكافحة نواقل الامراض 
- solid waste and sewage management;  إدارة النفايات الصلبة والصرف الصحي؛
- food safety? سلامة الغذاء
</t>
  </si>
  <si>
    <t>Is the general level of sanitation at the ground crossing facility and in surrounding areas conducive to the transmission of communicable diseases? هل المستوى العام للصرف الصحي عند مرفق المعبر البري وفي المناطق المحيطة به مواتٍ لانتقال الأمراض المعدية؟</t>
  </si>
  <si>
    <t>Are there any factors that may have an impact on the application of possible recommended measures such as disinsection, disinfection, decontamination or other treatment of contaminated conveyances, baggage and goods (e.g. human resources, equipment, supplies)? هل هناك أي عوامل قد تؤثر على تطبيق التدابير الموصى بها المحتملة مثل تطهير الحشرات والتطهير وإزالة التلوث أو غير ذلك من طرق معالجة وسائل النقل والأمتعة والبضائع الملوثة (مثل الموارد البشرية والمعدات والإمدادات)؟</t>
  </si>
  <si>
    <t xml:space="preserve"> Are the necessary instruments (chemicals and equipment) available to manage an event of public health concern at a ground crossing or in a border region?  "هل تتوفر الأدوات (المواد الكيميائية والمعدات) اللازمة لإدارة حدث يشكل خطرًا على الصحة العامة عند معبر بري أو في منطقة حدودية؟
</t>
  </si>
  <si>
    <t xml:space="preserve">Has the location for storing equipment and supplies (e.g. PPE, disinfectant, etc) been identified?  هل تم تحديد موقع تخزين المعدات والإمدادات (مثل معدات الوقاية الشخصية والمطهرات وما إلى ذلك)؟
</t>
  </si>
  <si>
    <t>Has the access to equipment and supplies (e.g. PPE, disinfectant, etc.) for the ground crossing been identified? هل تم تحديد الوصول إلى المعدات والإمدادات (مثل معدات الوقاية الشخصية والمطهرات وما إلى ذلك) عند المعبر الأرضي؟</t>
  </si>
  <si>
    <t>Are sufficient numbers of trained staff available for routine functions at ground crossings? هل يتوفر عدد كاف من الموظفين المدربين لأداء الوظائف الروتينية عند المعابر الأرضية؟</t>
  </si>
  <si>
    <t>Have surge capacities been taken into consideration in order to respond to a public health emergency at a ground crossing and in a border region? هل تم أخذ قدرات الطوارئ في الاعتبار من أجل الاستجابة لحالة طوارئ صحية عامة عند معبر أرضي وفي منطقة حدودية؟</t>
  </si>
  <si>
    <t>Are ground crossing table-top exercises and/or field and/or full-scale drills conducted? هل يتم إجراء تدريبات على طاولة العمل و/أو تدريبات ميدانية و/أو كاملة النطاق عند المعابر الأرضية؟</t>
  </si>
  <si>
    <t>Are trained staff available to inspect conveyances at or near the ground crossing? هل يتوفر موظفون مدربون لفحص وسائل النقل عند أو بالقرب من المعبر الأرضي؟</t>
  </si>
  <si>
    <t>Are after-action reports available? هل تتوفر تقارير ما بعد العمل؟</t>
  </si>
  <si>
    <t>Has a gap analysis been conducted to address human resource capacities in the after-action review? هل تم إجراء تحليل للفجوات لمعالجة قدرات الموارد البشرية في مراجعة ما بعد العمل؟</t>
  </si>
  <si>
    <t>Does regular on-the-job training take place for IHR health functions? هل يتم إجراء تدريب منتظم أثناء العمل لوظائف الصحة وفقًا للوائح الصحية الدولية؟</t>
  </si>
  <si>
    <t>Trained staff الكادر المدرب</t>
  </si>
  <si>
    <t xml:space="preserve">Has adequate space been identified to conduct private interviews with ill travellers at the ground crossing? "هل تم تحديد مساحة كافية لإجراء مقابلات خاصة مع المسافرين المرضى عند معبر الحدود البري؟
</t>
  </si>
  <si>
    <t>Have isolation and quarantine facilities been identified? هل تم تحديد مرافق العزل والحجر الصحي؟</t>
  </si>
  <si>
    <t>Are there language or cultural barriers that may occur when assessing travellers? هل هناك حواجز لغوية أو ثقافية قد تحدث عند تقييم المسافرين؟</t>
  </si>
  <si>
    <t>Are translation services available? هل تتوفر خدمات الترجمة؟</t>
  </si>
  <si>
    <t>Have shelter, sanitation, water, waste disposal, food, privacy, safety, communications and transportation been accounted for when undertaking observation or isolation of suspect or affected travellers at ground crossings? هل تم أخذ المأوى والصرف الصحي والمياه والتخلص من النفايات والغذاء والخصوصية والسلامة والاتصالات والنقل في الاعتبار عند إجراء المراقبة أو عزل المسافرين المشتبه بهم أو المتأثرين عند معبر الحدود البري؟</t>
  </si>
  <si>
    <t xml:space="preserve">
Has access to qualified laboratories been identified and established? هل تم تحديد وتأسيس إمكانية الوصول إلى المختبرات المؤهلة؟
</t>
  </si>
  <si>
    <t>Have the type and proximity of the health-care facilities relative to the ground crossing been determined? 
هل تم تحديد نوع وقرب مرافق الرعاية الصحية بالنسبة لمعبر الحدود البري؟</t>
  </si>
  <si>
    <t xml:space="preserve">
Do travellers and ground crossing staff have access to medical professionals? ل يمكن للمسافرين وموظفي معبر الحدود البري الوصول إلى المتخصصين الطبيين؟
"
</t>
  </si>
  <si>
    <t>Are accessible health-care facilities able to respond to a communicable disease event? هل المرافق الصحية التي يمكن الوصول إليها قادرة على الاستجابة لحدث مرض معد؟</t>
  </si>
  <si>
    <t>Have sample transport procedures been established (cross-border transport)?هل تم وضع إجراءات نقل العينات (النقل عبر الحدود)؟</t>
  </si>
  <si>
    <t>Are there means available to transport ill/suspect travellers from a ground crossing to a health care facility? هل تتوفر وسائل لنقل المسافرين المرضى/المشتبه بهم من معبر حدودي إلى مرفق رعاية صحية؟</t>
  </si>
  <si>
    <t>Assessment and care of travellers تقييم ورعاية المسافرين</t>
  </si>
  <si>
    <t>Transportation الترحيل</t>
  </si>
  <si>
    <r>
      <t>Exposure:</t>
    </r>
    <r>
      <rPr>
        <sz val="12"/>
        <color rgb="FF000000"/>
        <rFont val="Calibri"/>
        <family val="2"/>
        <scheme val="minor"/>
      </rPr>
      <t xml:space="preserve"> For each possible hazard (biological, chemical, physical or radiological), determine the likelihood of occurrence.
Determine the likelihood of occurrence of a hazard by evaluating its frequency and seasonality, and by identifying the possible negative health consequences for populations at ground crossings and in adjacent border communities. "التعرض: بالنسبة لكل خطر محتمل (بيولوجي أو كيميائي أو فيزيائي أو إشعاعي)، حدد احتمالية حدوثه.
حدد احتمالية حدوث الخطر من خلال تقييم تواتر حدوثه وموسميته، ومن خلال تحديد العواقب الصحية السلبية المحتملة على السكان عند المعابر البرية وفي المجتمعات الحدودية المجاورة.</t>
    </r>
    <r>
      <rPr>
        <b/>
        <sz val="12"/>
        <color rgb="FF000000"/>
        <rFont val="Calibri"/>
        <family val="2"/>
        <scheme val="minor"/>
      </rPr>
      <t xml:space="preserve">
</t>
    </r>
  </si>
  <si>
    <t>Guiding factors to take into consideration when determining exposure: العوامل التوجيهية التي يجب أخذها في الاعتبار عند تحديد التعرض:</t>
  </si>
  <si>
    <t xml:space="preserve">• Are there any interactions at ground crossings and in the border region that facilitate the introduction/spread of diseases to the bordering countries?  هل هناك أي تفاعلات عند المعابر البرية وفي منطقة الحدود تسهل إدخال/انتشار الأمراض إلى البلدان المجاورة؟
• Is the hazard highly infectious? هل الخطر شديد العدوي
• Is there any past evidence of local spread within the border region? هل هناك أي دليل سابق على انتشار محلي داخل منطقة الحدود؟ 
• Is there an index case that is associated with a history of travelling to bordering countries within the previous month, or of close contact with a traveller/mobile population at the ground crossing, or participation in an international gathering in the bordering countries? هل هناك حالة مؤشر مرتبطة بتاريخ السفر إلى البلدان المجاورة خلال الشهر السابق، أو اتصال وثيق مع مسافر/سكان متنقلين عند المعبر البري، أو المشاركة في تجمع دولي في البلدان المجاورة؟
• Is there any past evidence of an event caused by environmental contamination associated with this specific hazard (biological, zoonotic, chemical or radiological) that has the potential to spread across borders? هل هناك أي دليل سابق على حدوث حدث ناتج عن تلوث بيئي مرتبط بهذا الخطر المحدد (بيولوجي، حيواني المنشأ، كيميائي أو إشعاعي) لديه القدرة على الانتشار عبر الحدود؟
• Is the event at a ground crossing or in a border region with intense international traffic and limited capacity for sanitary control or environmental disinfection and decontamination?  هل الحدث عند معبر بري أو في منطقة حدودية ذات حركة مرور دولية مكثفة وقدرة محدودة على التحكم الصحي أو التطهير البيئي وإزالة التلوث؟
The assessment team should use the information collected to answer, for each possible hazard, the five questions that are below. Each question should be answered by either YES or NO. YES scores 1 and NO scores 0. يجب على فريق التقييم استخدام المعلومات التي تم جمعها للإجابة، لكل خطر محتمل، على الأسئلة الخمسة أدناه. يجب الإجابة على كل سؤال إما بنعم أو لا. تحصل الإجابة بنعم على 1 وتحصل الإجابة بلا على 0.
Click on the drop-down tab in the cell in front of the question to choose the answer. Following this action, the score will appear in the next cell on the same line. When all five questions have been answered, the total likelihood score for the identified hazard will appear in the cell next to the "TOTAL SCORE" cell. This score will also appear on line 103 and the likelihood level will appear on line 104 under the column assigned to the identified hazard. انقر فوق علامة التبويب المنسدلة في الخلية أمام السؤال لاختيار الإجابة. وبعد هذا الإجراء، ستظهر النتيجة في الخلية التالية على نفس السطر. وعندما تتم الإجابة على الأسئلة الخمسة، ستظهر درجة الاحتمالية الإجمالية للخطر المحدد في الخلية بجوار خلية ""الدرجة الإجمالية"". وستظهر هذه النتيجة أيضًا في السطر 103 وسيظهر مستوى الاحتمالية في السطر 104 أسفل العمود المخصص للخطر المحدد.
The assigned score from 1 to 5 would be as follows:  ستكون النتيجة المخصصة من 1 إلى 5 على النحو التالي:
1. Very unlikely غير محتمل للغاية
2 2. Unlikely غير محتمل 
3 3. Likely محتمل
4 4. Very likely محتمل جدا
5 5. Almost certain شيه مؤكد
</t>
  </si>
  <si>
    <t>Are there any interactions at ground crossings and in the border region that facilitate the introduction/spread of diseases to the bordering countries? هل هناك أي تفاعلات عند المعابر البرية وفي منطقة الحدود تسهل إدخال/انتشار الأمراض إلى البلدان المجاورة؟</t>
  </si>
  <si>
    <t>Is the hazard highly infectious? هل الخطر معدي للغاية؟</t>
  </si>
  <si>
    <t>Is there any past evidence of local spread within the border region? هل هناك أي دليل سابق على انتشار محلي داخل منطقة الحدود؟</t>
  </si>
  <si>
    <t>Is there any past evidence of an event caused by environmental contamination associated with this specific hazard (biological, zoonotic, chemical or radiological) that has the potential to spread across borders? هل هناك أي دليل سابق على وقوع حدث ناتج عن تلوث بيئي مرتبط بهذا الخطر المحدد (البيولوجي أو الحيواني أو الكيميائي أو الإشعاعي) والذي يحتمل أن ينتشر عبر الحدود؟</t>
  </si>
  <si>
    <t>Is the event at a ground crossing or in a border region with intense international traffic and limited capacity for sanitary control or environmental disinfection and decontamination? هل وقع الحدث عند معبر بري أو في منطقة حدودية ذات حركة مرور دولية مكثفة وقدرة محدودة على التحكم الصحي أو تطهير البيئة وإزالة التلوث؟</t>
  </si>
  <si>
    <r>
      <rPr>
        <b/>
        <sz val="12"/>
        <color theme="1"/>
        <rFont val="Calibri"/>
        <family val="2"/>
        <scheme val="minor"/>
      </rPr>
      <t>The scale of the impact</t>
    </r>
    <r>
      <rPr>
        <sz val="12"/>
        <color theme="1"/>
        <rFont val="Calibri"/>
        <family val="2"/>
        <scheme val="minor"/>
      </rPr>
      <t xml:space="preserve"> of an individual hazard is determined by an aggregation of the scores given for vulnerability, severity and coping capacity. يتم تحديد حجم تأثير الخطر الفردي من خلال تجميع الدرجات المعطاة للضعف والشدة والقدرة على التكيف 
</t>
    </r>
    <r>
      <rPr>
        <b/>
        <sz val="12"/>
        <color theme="1"/>
        <rFont val="Calibri"/>
        <family val="2"/>
        <scheme val="minor"/>
      </rPr>
      <t>Impact = (vulnerability + severity + coping capacity)/3 التأثير = (الضعف + الشدة + القدرة على التكيف) / 3</t>
    </r>
    <r>
      <rPr>
        <sz val="12"/>
        <color theme="1"/>
        <rFont val="Calibri"/>
        <family val="2"/>
        <scheme val="minor"/>
      </rPr>
      <t xml:space="preserve">
1. Very low منخفض جدا
2. Low منخفض
3. Moderate متوسط
4. High عالي
5. Very high عالي جدا
</t>
    </r>
  </si>
  <si>
    <t xml:space="preserve"> Hazard name اسم الخطر</t>
  </si>
  <si>
    <t>Exposure التعرض</t>
  </si>
  <si>
    <t xml:space="preserve">Severtiy شدة </t>
  </si>
  <si>
    <t>Coping capacities قدرات التأقلم</t>
  </si>
  <si>
    <t>Impact تأثير</t>
  </si>
  <si>
    <t>Impact level مستوي التأثير</t>
  </si>
  <si>
    <t>Likelihood score درجة الاحتمالية</t>
  </si>
  <si>
    <t>Likelihood level مستوي الاحتمالية</t>
  </si>
  <si>
    <t xml:space="preserve">Almost certain شيه مؤكد  </t>
  </si>
  <si>
    <t xml:space="preserve">Very likely من المحتمل جدا </t>
  </si>
  <si>
    <t xml:space="preserve">Likely محتمل </t>
  </si>
  <si>
    <t>Unlikely  غير محتمل</t>
  </si>
  <si>
    <t>Very unlikely غير محتمل جدا</t>
  </si>
  <si>
    <t>Consequences of hazard occurring (impact) عواقب وقوع الخطر (التأثير)</t>
  </si>
  <si>
    <t>Dr.ELFATIH RABEI ABDALLA</t>
  </si>
  <si>
    <t>Dr.AHMED MOHAMMED OSMAN DARREER</t>
  </si>
  <si>
    <t>darreer@gmail.com</t>
  </si>
  <si>
    <t xml:space="preserve">[+249912295148] </t>
  </si>
  <si>
    <t xml:space="preserve">[+249912508725] </t>
  </si>
  <si>
    <t>ElfatihRabie@gmail.com</t>
  </si>
  <si>
    <t>Dengue</t>
  </si>
  <si>
    <t>Cholera</t>
  </si>
  <si>
    <t>Malaria</t>
  </si>
  <si>
    <t>Covid-19</t>
  </si>
  <si>
    <t>Influenza</t>
  </si>
  <si>
    <t>Chemical</t>
  </si>
  <si>
    <t>Radiological</t>
  </si>
  <si>
    <t>Physical</t>
  </si>
  <si>
    <t>Yes</t>
  </si>
  <si>
    <t>VHF</t>
  </si>
  <si>
    <t>Mass Casualities</t>
  </si>
  <si>
    <t xml:space="preserve">darreer.wordpress.com  </t>
  </si>
  <si>
    <t>MUSTAFA MUSA EISA MUSA</t>
  </si>
  <si>
    <t>ALI MOHAMED NOR ABOMOHAMED</t>
  </si>
  <si>
    <t>mustafaanshish@gmail.com</t>
  </si>
  <si>
    <t xml:space="preserve">[+249915622034] </t>
  </si>
  <si>
    <t xml:space="preserve">[+249912488093] </t>
  </si>
  <si>
    <t>TAHANI ADAM MAHDI YOSIF</t>
  </si>
  <si>
    <t xml:space="preserve">[+249911241181] </t>
  </si>
  <si>
    <t>airportportsudan@gmail.com</t>
  </si>
  <si>
    <t>Port Sudan International Airport</t>
  </si>
  <si>
    <t>Sudan Republic – Red sea state Port Sudan international airport</t>
  </si>
  <si>
    <t>P.O BOX 487</t>
  </si>
  <si>
    <t>[+249311823507]</t>
  </si>
  <si>
    <t>AERODROME OPERATOR Sudan Airports Co. Ltd (SAC )</t>
  </si>
  <si>
    <t>LOCATION : Sudan – Red sea state</t>
  </si>
  <si>
    <t>tahanydm94@gmail.com</t>
  </si>
  <si>
    <t xml:space="preserve"> portsudanairport@hotmail.com</t>
  </si>
  <si>
    <t>Health care facilities  مؤسسات الرعاية الصحية</t>
  </si>
  <si>
    <t>Technical and logistics التقنية واللوجستية</t>
  </si>
  <si>
    <t>Environmental health programmes برامج صحة البيئة</t>
  </si>
  <si>
    <t xml:space="preserve">1- تقوية نظام الترصد الحشري وعمل محطة تقصي بالمطار 2- توفير معينات العمل ( مبيدات + طلمبات) 3- تدريب الكوادر على أعمل التقصي والمكافحة لناقلات الأمراض محلياً وإقليمياً 4- إحكام التنسيق مع النظام الصحي المحلي وصحة البيئة بالولاية وسبطة الطيران المدني والجهات ذات الصلة . 5- رفع الوعي الصحي والبيئي للمسافرين والعاملين بنقطة دخول مطار بورتسودان بأهمية ناقلات الأمراض والوقاية منها . </t>
  </si>
  <si>
    <t xml:space="preserve">1-تقوية نظام الرصد والمتابعة والكشف المبكر للحالات والتنسيق مع نظام الترصد المرضي الولائي وتبادل المعلومات في حال حدوث الأوبئة . 2- تدريب الكادر على أنشطة الفرز الأولي والثانوي بالمطار 3- تقوية نظام مكافحة العدوى بالمطار 4- تدريب الكادر المعالج على  تشخيص المرض وتقديم الإسعاف الأولي للحالات المكتشفة 5- التنسيق  وإحكام الرقابة عليها بإستمرار .مع النظام الصحي في الولاية لتحويل الحالات المكتشفة    6 7- رفع الوعي الصحي وتنقية مياه الشرب ومعالجة مصادر المياه في المنطقة حول المطار-  </t>
  </si>
  <si>
    <t>تقوية نظام الترصد الحشري وعمل محطة تقصي بالمطار 2- توفير معينات العمل ( مبيدات + طلمبات) 3- تدريب الكوادر على أعمال التقصي والمكافحة لناقلات الأمراض محلياً وإقليمياً 4- إحكام التنسيق مع النظام الصحي المحلي وصحة البيئة بالولاية وسلطة الطيران المدني والجهات ذات الصلة . 5- رفع الوعي الصحي والبيئي للمسافرين والعاملين بنقطة دخول مطار بورتسودان بأهمية ناقلات الأمراض والوقاية منها . 6- تجهيز العيادة في المطار بالفحص السريع للملاريا وتوفير الأدوية للعاملين بنقطة دخول مطار بورتسودان الدولي .</t>
  </si>
  <si>
    <t xml:space="preserve">1- تقوية نظام الترصد المرضي والإكتشاف المبكر  للحالات  2- تدريب الكادر على إكتشاف الحالات وإدارتها   3- تتوفير معينات مكافحة العدوى ومعدات السلامة اللازمة 4- تدريب فرق الإستجابة بنقطة الدخول على أعمال المكافحة والإحتواء لكافة المهددات الصحية . 5- رفع الوعي الصحي والبيئي لدى المسافرين والعاملين بنقطة الدخول  حول خطورة المرض وكيفية الوقاية منه 6- تهيئة العيادة بنقطة الدخول وتوفير مستلزمات أدوية الطوارئ والمستهلكات الطبية. 7- تدريب الكوادر الطبية بالعيادة على الفرز الثانوي ونظام الإحالة . </t>
  </si>
  <si>
    <t xml:space="preserve">1- تقوية نظام الترصد المرضي والإكتشاف المبكر  للحالات  2- تدريب الكادر على إكتشاف الحالات وإدارتها   3- تتوفير معينات مكافحة العدوى ومعدات السلامة اللازمة 4- تدريب فرق الإستجابة بنقطة الدخول على أعمال المكافحة والإحتواء لكافة المهددات الصحية . 5- رفع الوعي الصحي والبيئي لدى المسافرين والعاملين بنقطة الدخول  حول خطورة االأنفلونزا وانواعها  وكيفية الوقاية منها 6- تهيئة العيادة بنقطة الدخول وتوفير مستلزمات أدوية الطوارئ والمستهلكات الطبية. 7- تدريب الكوادر الطبية بالعيادة على الفرز الثانوي ونظام الإحالة . </t>
  </si>
  <si>
    <t xml:space="preserve">1- تقوية نظام الرصد والإكتشاف للأحداث الفيزيائية والظواهر المهددة للصحة العمومية . 2- تدريب الكادر على إكتشاف الأحداث والمخاطر التي تنتج جراء الأحداث الطبيعية وطرق إدارتها والإستجابة لها  . 3- توفير معينات مكافحة العدوى ومعدات السلامة اللازمة للمخاطر  . 4- تكوين وتدريب فرق الإستجابة السريعة بنقطة الدخول  على إدارة الطارئ والإحتواء  . 5- رفع الوعي الصحي والبيئي لدى المسافرين والعاملين تجاه المخاطر البيئية   بنقطة الدخول و حول أهمية الإهتمام بمعدات الوقاية الشخصية والسلامة أثناء العمل ..  8- العمل على إنشاء وحدة إنذار مبكر للأحداث والمهددات الصحية  بنقطة الدخول بالتنسيق مع الجهات ذات الصلة  6- تهيئة العيادة بنقطة الدخول  8- تقوية نظام الإحالة بنقطة الدخول بتوفير الإسعافات وبناء نظام تواصل إلكتروني بين عيادة نقطة الدخول والمؤسسات الصحية بالداخل .وتوفير مستلزمات أدوية الطوارئ والإسعافات الأولية للحوادث التي قد تطرأ بنقطة الدخول . 7- تدريب الكوادر الطبية بالعيادة على الفرز  أثناء الحدث ونظام الإحالة . </t>
  </si>
  <si>
    <t xml:space="preserve">1- تقوية نظام الرصد والإكتشاف للأحداث الكيميائية والظواهر المهددة للصحة العمومية 2- تدريب الكادر على إكتشاف الأحداث والمخاطر الكيميائية وطرق إدارتها والإستجابة لها   3- توفير معينات مكافحة العدوى ومعدات السلامة اللازمة للمخاطر  4- تدريب فُرق الإستجابة السريعة بنقطة الدخول  على إدارة الطارئ والإحتواء  . 5- رفع الوعي الصحي والبيئي لدى المسافرين والعاملين  8- العمل على إنشاء وحدة إنذار مبكر للأحداث والمهددات الصحية  بنقطة الدخول بالتنسيق مع الجهات ذات الصلة ..بنقطة الدخول  حول أهمية الإهتمام بمعدات الوقاية الشخصية والسلامة أثناء العمل . 6- تهيئة العيادة بنقطة الدخول وتوفير مستلزمات أدوية الطوارئ والحوادث التي قد تطرأ بنقطة الدخول . 7- تدريب الكوادر الطبية بالعيادة على الفرز  أثناء الحدث ونظام الإحالة . </t>
  </si>
  <si>
    <t xml:space="preserve">1- تقوية نظام الرصد والإكتشاف للأحداث والظواهر المهددة للصحة العمومية 2- تدريب الكادر على إكتشاف الأحداث وطرق إدارتها والإستجابة لها   3- توفير معينات مكافحة العدوى ومعدات السلامة اللازمة 4- تدريب فرق الإستجابة السريعة بنقطة الدخول  على إدارة الطارئ والإحتواء  . 5- رفع الوعي الصحي والبيئي لدى المسافرين والعاملين  8- العمل على إنشاء وحدة إنذار مبكر للأحداث والمهددات الصحية  بنقطة الدخول بالتنسيق مع الجهات ذات الصلة ..بنقطة الدخول  حول أهمية الإهتمام بمعدات الوقاية الشخصية والسلامة أثناء العمل . 6- تهيئة العيادة بنقطة الدخول وتوفير مستلزمات أدوية الطوارئ والحوادث التي قد تطرأ بنقطة الدخول . 7- تدريب الكوادر الطبية  و تقوية نظام الاحالة بالعيادة على الفرز  أثناء الحدث ونظام الإحالة . </t>
  </si>
  <si>
    <t xml:space="preserve">1- تقوية نظام الرصد والإكتشاف للأحداث الإشعائية والظواهر المهددة للصحة العمومية 2- تدريب الكادر على إكتشاف الأحداث والمخاطر االإشعائية وطرق إدارتها والإستجابة لها   3- توفير معينات مكافحة العدوى ومعدات السلامة اللازمة للمخاطر  4- تكوين وتدريب فرق إستجابة سريعة متخصصة بنقطة الدخول  على أعمل إدارة الطارئ والإحتواء  . 5- رفع الوعي الصحي والبيئي لدى المسافرين والعاملين حول مخاطر التعرض لمواد الإشعائية 8- العمل على إنشاء وحدة إنذار مبكر للأحداث والمهددات الصحية  بنقطة الدخول بالتنسيق مع الجهات ذات الصلة ..بنقطة الدخول  حول أهمية الإهتمام بمعدات الوقاية الشخصية والسلامة أثناء العمل . 6- تهيئة العيادة بنقطة الدخول وتوفير مستلزمات أدوية الطوارئ والحوادث التي قد تطرأ بنقطة الدخول . 7- تدريب الكوادر الطبية بالعيادة على الفرز  أثناء الحدث ونظام الإحالة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</si>
</sst>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Red]0"/>
    <numFmt numFmtId="165" formatCode="0.0000;[Red]0.0000"/>
  </numFmts>
  <fonts count="20" x14ac:knownFonts="1">
    <font>
      <sz val="12"/>
      <color theme="1"/>
      <name val="Calibri"/>
      <family val="2"/>
      <scheme val="minor"/>
    </font>
    <font>
      <sz val="11"/>
      <color theme="1"/>
      <name val="Calibri"/>
      <family val="2"/>
      <scheme val="minor"/>
    </font>
    <font>
      <b/>
      <sz val="12"/>
      <color theme="1"/>
      <name val="Calibri"/>
      <family val="2"/>
      <scheme val="minor"/>
    </font>
    <font>
      <b/>
      <sz val="12"/>
      <color rgb="FF000000"/>
      <name val="Calibri"/>
      <family val="2"/>
      <scheme val="minor"/>
    </font>
    <font>
      <u/>
      <sz val="12"/>
      <color theme="1"/>
      <name val="Calibri"/>
      <family val="2"/>
      <scheme val="minor"/>
    </font>
    <font>
      <sz val="12"/>
      <name val="Calibri"/>
      <family val="2"/>
      <scheme val="minor"/>
    </font>
    <font>
      <b/>
      <sz val="12"/>
      <name val="Calibri"/>
      <family val="2"/>
      <scheme val="minor"/>
    </font>
    <font>
      <sz val="11"/>
      <color theme="1"/>
      <name val="Calibri"/>
      <family val="2"/>
    </font>
    <font>
      <sz val="12"/>
      <color rgb="FF000000"/>
      <name val="Calibri"/>
      <family val="2"/>
      <scheme val="minor"/>
    </font>
    <font>
      <sz val="8"/>
      <name val="Calibri"/>
      <family val="2"/>
      <scheme val="minor"/>
    </font>
    <font>
      <b/>
      <sz val="22"/>
      <color theme="1"/>
      <name val="Calibri"/>
      <family val="2"/>
      <scheme val="minor"/>
    </font>
    <font>
      <b/>
      <sz val="18"/>
      <color theme="1"/>
      <name val="Calibri"/>
      <family val="2"/>
      <scheme val="minor"/>
    </font>
    <font>
      <sz val="12"/>
      <color theme="1"/>
      <name val="Calibri"/>
      <family val="2"/>
    </font>
    <font>
      <i/>
      <sz val="12"/>
      <color theme="1"/>
      <name val="Calibri"/>
      <family val="2"/>
      <scheme val="minor"/>
    </font>
    <font>
      <u/>
      <sz val="12"/>
      <color theme="10"/>
      <name val="Calibri"/>
      <family val="2"/>
      <scheme val="minor"/>
    </font>
    <font>
      <sz val="26"/>
      <color theme="1"/>
      <name val="Calibri"/>
      <family val="2"/>
      <scheme val="minor"/>
    </font>
    <font>
      <sz val="12"/>
      <color theme="1"/>
      <name val="Times New Roman"/>
      <family val="1"/>
    </font>
    <font>
      <sz val="12"/>
      <color theme="1"/>
      <name val="Symbol"/>
      <family val="1"/>
      <charset val="2"/>
    </font>
    <font>
      <sz val="13"/>
      <color theme="1"/>
      <name val="Arial Narrow"/>
      <family val="2"/>
    </font>
    <font>
      <b/>
      <sz val="12"/>
      <color rgb="FFFF0000"/>
      <name val="Calibri"/>
      <family val="2"/>
      <scheme val="minor"/>
    </font>
  </fonts>
  <fills count="8">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bgColor indexed="64"/>
      </patternFill>
    </fill>
    <fill>
      <patternFill patternType="solid">
        <fgColor rgb="FFBEBEBE"/>
        <bgColor indexed="64"/>
      </patternFill>
    </fill>
  </fills>
  <borders count="56">
    <border>
      <left/>
      <right/>
      <top/>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medium">
        <color auto="1"/>
      </right>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auto="1"/>
      </left>
      <right style="thin">
        <color indexed="64"/>
      </right>
      <top/>
      <bottom style="medium">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indexed="64"/>
      </right>
      <top style="medium">
        <color rgb="FF000000"/>
      </top>
      <bottom style="medium">
        <color rgb="FF000000"/>
      </bottom>
      <diagonal/>
    </border>
    <border>
      <left style="medium">
        <color rgb="FF000000"/>
      </left>
      <right style="thin">
        <color indexed="64"/>
      </right>
      <top/>
      <bottom style="medium">
        <color rgb="FF000000"/>
      </bottom>
      <diagonal/>
    </border>
  </borders>
  <cellStyleXfs count="2">
    <xf numFmtId="0" fontId="0" fillId="0" borderId="0"/>
    <xf numFmtId="0" fontId="14" fillId="0" borderId="0" applyNumberFormat="0" applyFill="0" applyBorder="0" applyAlignment="0" applyProtection="0"/>
  </cellStyleXfs>
  <cellXfs count="263">
    <xf numFmtId="0" fontId="0" fillId="0" borderId="0" xfId="0"/>
    <xf numFmtId="0" fontId="2" fillId="0" borderId="0" xfId="0" applyFont="1"/>
    <xf numFmtId="0" fontId="6" fillId="0" borderId="0" xfId="0" applyFont="1"/>
    <xf numFmtId="0" fontId="7" fillId="0" borderId="0" xfId="0" applyFont="1" applyAlignment="1">
      <alignment horizontal="left" vertical="center" indent="4"/>
    </xf>
    <xf numFmtId="0" fontId="4" fillId="0" borderId="0" xfId="0" applyFont="1"/>
    <xf numFmtId="0" fontId="5" fillId="0" borderId="0" xfId="0" applyFont="1"/>
    <xf numFmtId="0" fontId="2" fillId="0" borderId="0" xfId="0" applyFont="1" applyAlignment="1">
      <alignment horizontal="center"/>
    </xf>
    <xf numFmtId="0" fontId="2" fillId="0" borderId="10" xfId="0" applyFont="1" applyBorder="1" applyAlignment="1">
      <alignment horizontal="center" vertical="center"/>
    </xf>
    <xf numFmtId="0" fontId="7" fillId="0" borderId="15" xfId="0" applyFont="1" applyBorder="1" applyAlignment="1">
      <alignment horizontal="left" vertical="center" indent="4"/>
    </xf>
    <xf numFmtId="0" fontId="0" fillId="0" borderId="15" xfId="0" applyBorder="1"/>
    <xf numFmtId="0" fontId="0" fillId="0" borderId="15" xfId="0" applyBorder="1" applyAlignment="1">
      <alignment horizontal="left" vertical="top" wrapText="1"/>
    </xf>
    <xf numFmtId="0" fontId="0" fillId="0" borderId="0" xfId="0" applyAlignment="1">
      <alignment horizontal="left" vertical="top"/>
    </xf>
    <xf numFmtId="0" fontId="0" fillId="0" borderId="15" xfId="0" applyBorder="1" applyAlignment="1">
      <alignment horizontal="left" vertical="top"/>
    </xf>
    <xf numFmtId="0" fontId="0" fillId="0" borderId="15" xfId="0" applyBorder="1" applyAlignment="1">
      <alignment vertical="top" wrapText="1"/>
    </xf>
    <xf numFmtId="0" fontId="2" fillId="0" borderId="15" xfId="0" applyFont="1" applyBorder="1"/>
    <xf numFmtId="0" fontId="0" fillId="0" borderId="15" xfId="0" applyBorder="1" applyAlignment="1">
      <alignment wrapText="1"/>
    </xf>
    <xf numFmtId="0" fontId="0" fillId="0" borderId="16" xfId="0" applyBorder="1" applyAlignment="1">
      <alignment wrapText="1"/>
    </xf>
    <xf numFmtId="0" fontId="0" fillId="0" borderId="15" xfId="0" applyBorder="1" applyAlignment="1">
      <alignment horizontal="center"/>
    </xf>
    <xf numFmtId="0" fontId="2" fillId="0" borderId="15" xfId="0" applyFont="1" applyBorder="1" applyAlignment="1">
      <alignment horizontal="left" vertical="top"/>
    </xf>
    <xf numFmtId="0" fontId="8" fillId="0" borderId="2"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2" fillId="0" borderId="5" xfId="0" applyFont="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xf numFmtId="0" fontId="0" fillId="0" borderId="23" xfId="0" applyBorder="1"/>
    <xf numFmtId="0" fontId="0" fillId="0" borderId="24" xfId="0" applyBorder="1"/>
    <xf numFmtId="0" fontId="2" fillId="0" borderId="0" xfId="0" applyFont="1" applyAlignment="1">
      <alignment horizontal="left" vertical="top"/>
    </xf>
    <xf numFmtId="0" fontId="3" fillId="0" borderId="15" xfId="0" applyFont="1" applyBorder="1" applyAlignment="1" applyProtection="1">
      <alignment horizontal="left" vertical="top" wrapText="1"/>
      <protection locked="0"/>
    </xf>
    <xf numFmtId="0" fontId="8" fillId="0" borderId="15" xfId="0" applyFont="1" applyBorder="1" applyAlignment="1" applyProtection="1">
      <alignment horizontal="left" vertical="top" wrapText="1"/>
      <protection locked="0"/>
    </xf>
    <xf numFmtId="0" fontId="2" fillId="0" borderId="25" xfId="0" applyFont="1" applyBorder="1" applyAlignment="1">
      <alignment horizontal="center"/>
    </xf>
    <xf numFmtId="0" fontId="8" fillId="0" borderId="15" xfId="0" applyFont="1" applyBorder="1" applyAlignment="1" applyProtection="1">
      <alignment vertical="top" wrapText="1"/>
      <protection locked="0"/>
    </xf>
    <xf numFmtId="0" fontId="2" fillId="0" borderId="15" xfId="0" applyFont="1" applyBorder="1" applyAlignment="1">
      <alignment horizontal="left" vertical="top" wrapText="1"/>
    </xf>
    <xf numFmtId="0" fontId="0" fillId="0" borderId="0" xfId="0" applyAlignment="1">
      <alignment vertical="top"/>
    </xf>
    <xf numFmtId="0" fontId="12" fillId="0" borderId="0" xfId="0" applyFont="1"/>
    <xf numFmtId="0" fontId="0" fillId="2" borderId="0" xfId="0" applyFill="1"/>
    <xf numFmtId="0" fontId="0" fillId="2" borderId="15" xfId="0" applyFill="1" applyBorder="1"/>
    <xf numFmtId="0" fontId="0" fillId="3" borderId="15" xfId="0" applyFill="1" applyBorder="1"/>
    <xf numFmtId="0" fontId="0" fillId="4" borderId="15" xfId="0" applyFill="1" applyBorder="1"/>
    <xf numFmtId="0" fontId="0" fillId="0" borderId="0" xfId="0" applyAlignment="1">
      <alignment vertical="top" wrapText="1"/>
    </xf>
    <xf numFmtId="0" fontId="2" fillId="0" borderId="1" xfId="0" applyFont="1" applyBorder="1" applyAlignment="1">
      <alignment wrapText="1"/>
    </xf>
    <xf numFmtId="0" fontId="2" fillId="0" borderId="11" xfId="0" applyFont="1" applyBorder="1" applyAlignment="1">
      <alignment vertical="top" wrapText="1"/>
    </xf>
    <xf numFmtId="0" fontId="2" fillId="0" borderId="12" xfId="0" applyFont="1"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7"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2" borderId="19" xfId="0" applyFill="1" applyBorder="1" applyAlignment="1">
      <alignment vertical="top"/>
    </xf>
    <xf numFmtId="0" fontId="0" fillId="4" borderId="26" xfId="0" applyFill="1" applyBorder="1" applyAlignment="1">
      <alignment vertical="top"/>
    </xf>
    <xf numFmtId="0" fontId="0" fillId="3" borderId="22" xfId="0" applyFill="1" applyBorder="1" applyAlignment="1">
      <alignment vertical="top"/>
    </xf>
    <xf numFmtId="0" fontId="0" fillId="0" borderId="27" xfId="0" applyBorder="1" applyAlignment="1">
      <alignment horizontal="center"/>
    </xf>
    <xf numFmtId="0" fontId="2" fillId="0" borderId="19" xfId="0" applyFont="1" applyBorder="1"/>
    <xf numFmtId="0" fontId="3" fillId="0" borderId="20" xfId="0" applyFont="1" applyBorder="1" applyAlignment="1">
      <alignment horizontal="center"/>
    </xf>
    <xf numFmtId="0" fontId="3" fillId="0" borderId="21" xfId="0" applyFont="1" applyBorder="1" applyAlignment="1">
      <alignment horizontal="center"/>
    </xf>
    <xf numFmtId="0" fontId="2" fillId="0" borderId="26" xfId="0" applyFont="1" applyBorder="1" applyAlignment="1">
      <alignment horizontal="center"/>
    </xf>
    <xf numFmtId="0" fontId="2" fillId="0" borderId="22" xfId="0" applyFont="1" applyBorder="1" applyAlignment="1">
      <alignment horizontal="center"/>
    </xf>
    <xf numFmtId="0" fontId="0" fillId="0" borderId="23" xfId="0" applyBorder="1" applyAlignment="1">
      <alignment horizontal="center" vertical="top"/>
    </xf>
    <xf numFmtId="0" fontId="0" fillId="0" borderId="24" xfId="0" applyBorder="1" applyAlignment="1">
      <alignment horizontal="center" vertical="top"/>
    </xf>
    <xf numFmtId="0" fontId="0" fillId="0" borderId="19" xfId="0" applyBorder="1"/>
    <xf numFmtId="0" fontId="0" fillId="0" borderId="20" xfId="0" applyBorder="1"/>
    <xf numFmtId="0" fontId="0" fillId="0" borderId="21" xfId="0" applyBorder="1"/>
    <xf numFmtId="0" fontId="0" fillId="4" borderId="20" xfId="0" applyFill="1" applyBorder="1"/>
    <xf numFmtId="0" fontId="0" fillId="3" borderId="20" xfId="0" applyFill="1" applyBorder="1"/>
    <xf numFmtId="0" fontId="0" fillId="3" borderId="21" xfId="0" applyFill="1" applyBorder="1"/>
    <xf numFmtId="0" fontId="0" fillId="3" borderId="27" xfId="0" applyFill="1" applyBorder="1"/>
    <xf numFmtId="0" fontId="0" fillId="4" borderId="27" xfId="0" applyFill="1" applyBorder="1"/>
    <xf numFmtId="0" fontId="0" fillId="0" borderId="2" xfId="0" applyBorder="1"/>
    <xf numFmtId="0" fontId="0" fillId="0" borderId="27" xfId="0" applyBorder="1"/>
    <xf numFmtId="0" fontId="0" fillId="0" borderId="4" xfId="0" applyBorder="1"/>
    <xf numFmtId="0" fontId="0" fillId="0" borderId="13" xfId="0" applyBorder="1"/>
    <xf numFmtId="0" fontId="2" fillId="0" borderId="19" xfId="0" applyFont="1" applyBorder="1" applyAlignment="1">
      <alignment horizontal="center"/>
    </xf>
    <xf numFmtId="0" fontId="3" fillId="0" borderId="28" xfId="0" applyFont="1" applyBorder="1" applyAlignment="1">
      <alignment horizontal="center"/>
    </xf>
    <xf numFmtId="0" fontId="2" fillId="0" borderId="31" xfId="0" applyFont="1" applyBorder="1" applyAlignment="1">
      <alignment horizontal="center" vertical="center"/>
    </xf>
    <xf numFmtId="0" fontId="0" fillId="4" borderId="0" xfId="0" applyFill="1"/>
    <xf numFmtId="0" fontId="0" fillId="3" borderId="0" xfId="0" applyFill="1"/>
    <xf numFmtId="0" fontId="0" fillId="0" borderId="29" xfId="0" applyBorder="1" applyAlignment="1">
      <alignment vertical="top" wrapText="1"/>
    </xf>
    <xf numFmtId="0" fontId="0" fillId="0" borderId="30" xfId="0" applyBorder="1" applyAlignment="1">
      <alignment vertical="top" wrapText="1"/>
    </xf>
    <xf numFmtId="0" fontId="0" fillId="0" borderId="31" xfId="0" applyBorder="1" applyAlignment="1">
      <alignment vertical="top" wrapText="1"/>
    </xf>
    <xf numFmtId="0" fontId="0" fillId="0" borderId="32" xfId="0" applyBorder="1"/>
    <xf numFmtId="0" fontId="0" fillId="0" borderId="33" xfId="0" applyBorder="1"/>
    <xf numFmtId="0" fontId="0" fillId="0" borderId="34" xfId="0" applyBorder="1"/>
    <xf numFmtId="164" fontId="0" fillId="0" borderId="16" xfId="0" applyNumberFormat="1" applyBorder="1" applyAlignment="1">
      <alignment horizontal="center"/>
    </xf>
    <xf numFmtId="165" fontId="0" fillId="0" borderId="15" xfId="0" applyNumberFormat="1" applyBorder="1" applyAlignment="1">
      <alignment horizontal="center"/>
    </xf>
    <xf numFmtId="165" fontId="0" fillId="0" borderId="27" xfId="0" applyNumberFormat="1" applyBorder="1" applyAlignment="1">
      <alignment horizontal="center"/>
    </xf>
    <xf numFmtId="0" fontId="13" fillId="0" borderId="37" xfId="0" applyFont="1" applyBorder="1" applyAlignment="1">
      <alignment horizontal="center"/>
    </xf>
    <xf numFmtId="0" fontId="0" fillId="0" borderId="0" xfId="0" applyAlignment="1">
      <alignment horizontal="center"/>
    </xf>
    <xf numFmtId="0" fontId="2" fillId="0" borderId="22" xfId="0" applyFont="1" applyBorder="1"/>
    <xf numFmtId="0" fontId="11" fillId="0" borderId="10" xfId="0" applyFont="1" applyBorder="1"/>
    <xf numFmtId="0" fontId="14" fillId="0" borderId="0" xfId="1"/>
    <xf numFmtId="0" fontId="0" fillId="0" borderId="26" xfId="0" applyBorder="1"/>
    <xf numFmtId="0" fontId="2" fillId="0" borderId="21" xfId="0" applyFont="1" applyBorder="1" applyAlignment="1">
      <alignment horizontal="center"/>
    </xf>
    <xf numFmtId="0" fontId="2" fillId="0" borderId="24" xfId="0" applyFont="1" applyBorder="1" applyAlignment="1">
      <alignment horizontal="center"/>
    </xf>
    <xf numFmtId="0" fontId="2" fillId="0" borderId="29" xfId="0" applyFont="1" applyBorder="1"/>
    <xf numFmtId="0" fontId="2" fillId="0" borderId="10" xfId="0" applyFont="1" applyBorder="1"/>
    <xf numFmtId="0" fontId="0" fillId="0" borderId="15" xfId="0" applyBorder="1" applyAlignment="1">
      <alignment horizontal="center" vertical="center"/>
    </xf>
    <xf numFmtId="0" fontId="0" fillId="0" borderId="16" xfId="0" applyBorder="1" applyAlignment="1">
      <alignment horizontal="center" vertical="center"/>
    </xf>
    <xf numFmtId="0" fontId="0" fillId="0" borderId="19" xfId="0" applyBorder="1" applyAlignment="1">
      <alignment horizontal="center"/>
    </xf>
    <xf numFmtId="0" fontId="0" fillId="0" borderId="22" xfId="0" applyBorder="1" applyAlignment="1">
      <alignment horizontal="center" vertical="top"/>
    </xf>
    <xf numFmtId="0" fontId="2" fillId="0" borderId="16" xfId="0" applyFont="1" applyBorder="1" applyAlignment="1">
      <alignment vertical="center"/>
    </xf>
    <xf numFmtId="0" fontId="0" fillId="0" borderId="15" xfId="0" applyBorder="1" applyAlignment="1">
      <alignment horizontal="left" vertical="center" indent="4"/>
    </xf>
    <xf numFmtId="0" fontId="3" fillId="0" borderId="10" xfId="0" applyFont="1" applyBorder="1" applyAlignment="1">
      <alignment vertical="center" wrapText="1"/>
    </xf>
    <xf numFmtId="0" fontId="3" fillId="0" borderId="6" xfId="0" applyFont="1" applyBorder="1" applyAlignment="1">
      <alignment vertical="center" wrapText="1"/>
    </xf>
    <xf numFmtId="0" fontId="0" fillId="0" borderId="0" xfId="0" applyAlignment="1">
      <alignment horizontal="left" vertical="center" indent="4"/>
    </xf>
    <xf numFmtId="0" fontId="0" fillId="0" borderId="15" xfId="0" applyBorder="1" applyAlignment="1" applyProtection="1">
      <alignment wrapText="1"/>
      <protection locked="0"/>
    </xf>
    <xf numFmtId="0" fontId="0" fillId="0" borderId="19" xfId="0" applyBorder="1" applyAlignment="1">
      <alignment horizontal="center" vertical="top"/>
    </xf>
    <xf numFmtId="0" fontId="0" fillId="0" borderId="0" xfId="0" applyAlignment="1">
      <alignment horizontal="center" vertical="top"/>
    </xf>
    <xf numFmtId="0" fontId="2" fillId="0" borderId="15" xfId="0" applyFont="1" applyBorder="1" applyAlignment="1">
      <alignment vertical="center"/>
    </xf>
    <xf numFmtId="0" fontId="2" fillId="0" borderId="15" xfId="0" applyFont="1" applyBorder="1" applyAlignment="1">
      <alignment horizontal="center" vertical="top" wrapText="1"/>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0" fillId="0" borderId="4"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0" xfId="0" applyAlignment="1">
      <alignment horizontal="center" vertical="center"/>
    </xf>
    <xf numFmtId="0" fontId="0" fillId="0" borderId="0" xfId="0" applyAlignment="1">
      <alignment horizontal="left" wrapText="1" indent="1"/>
    </xf>
    <xf numFmtId="0" fontId="2" fillId="0" borderId="0" xfId="0" applyFont="1" applyAlignment="1">
      <alignment horizontal="center" vertical="top" wrapText="1"/>
    </xf>
    <xf numFmtId="0" fontId="0" fillId="0" borderId="0" xfId="0" applyAlignment="1">
      <alignment vertical="center"/>
    </xf>
    <xf numFmtId="0" fontId="0" fillId="0" borderId="0" xfId="0" applyAlignment="1">
      <alignment horizontal="left" vertical="center" wrapText="1" indent="1"/>
    </xf>
    <xf numFmtId="0" fontId="2" fillId="0" borderId="17" xfId="0" applyFont="1" applyBorder="1" applyAlignment="1">
      <alignment vertical="center"/>
    </xf>
    <xf numFmtId="0" fontId="2" fillId="0" borderId="18" xfId="0" applyFont="1" applyBorder="1" applyAlignment="1">
      <alignment vertical="center"/>
    </xf>
    <xf numFmtId="0" fontId="10" fillId="0" borderId="6" xfId="0" applyFont="1" applyBorder="1" applyAlignment="1">
      <alignment wrapText="1"/>
    </xf>
    <xf numFmtId="0" fontId="10" fillId="0" borderId="7" xfId="0" applyFont="1" applyBorder="1" applyAlignment="1">
      <alignment wrapText="1"/>
    </xf>
    <xf numFmtId="0" fontId="0" fillId="0" borderId="28" xfId="0" applyBorder="1"/>
    <xf numFmtId="0" fontId="2" fillId="0" borderId="36" xfId="0" applyFont="1" applyBorder="1" applyAlignment="1">
      <alignment horizontal="left" vertical="top"/>
    </xf>
    <xf numFmtId="0" fontId="3" fillId="0" borderId="0" xfId="0" applyFont="1" applyAlignment="1">
      <alignment horizontal="left" vertical="center" wrapText="1"/>
    </xf>
    <xf numFmtId="0" fontId="0" fillId="0" borderId="0" xfId="0" applyAlignment="1">
      <alignment wrapText="1"/>
    </xf>
    <xf numFmtId="0" fontId="7" fillId="0" borderId="16" xfId="0" applyFont="1" applyBorder="1" applyAlignment="1">
      <alignment horizontal="left" vertical="center" indent="4"/>
    </xf>
    <xf numFmtId="0" fontId="0" fillId="0" borderId="18" xfId="0" applyBorder="1" applyAlignment="1">
      <alignment vertical="top" wrapText="1"/>
    </xf>
    <xf numFmtId="0" fontId="8" fillId="0" borderId="42" xfId="0" applyFont="1" applyBorder="1" applyAlignment="1" applyProtection="1">
      <alignment horizontal="left" vertical="top" wrapText="1"/>
      <protection locked="0"/>
    </xf>
    <xf numFmtId="0" fontId="8" fillId="0" borderId="43" xfId="0" applyFont="1" applyBorder="1" applyAlignment="1" applyProtection="1">
      <alignment horizontal="left" vertical="top" wrapText="1"/>
      <protection locked="0"/>
    </xf>
    <xf numFmtId="0" fontId="8" fillId="0" borderId="44" xfId="0" applyFont="1" applyBorder="1" applyAlignment="1" applyProtection="1">
      <alignment horizontal="left" vertical="top" wrapText="1"/>
      <protection locked="0"/>
    </xf>
    <xf numFmtId="0" fontId="0" fillId="5" borderId="2" xfId="0" applyFill="1" applyBorder="1"/>
    <xf numFmtId="0" fontId="0" fillId="5" borderId="4" xfId="0" applyFill="1" applyBorder="1"/>
    <xf numFmtId="0" fontId="0" fillId="5" borderId="13" xfId="0" applyFill="1" applyBorder="1"/>
    <xf numFmtId="0" fontId="0" fillId="5" borderId="15" xfId="0" applyFill="1" applyBorder="1"/>
    <xf numFmtId="0" fontId="2" fillId="6" borderId="35" xfId="0" applyFont="1" applyFill="1" applyBorder="1" applyAlignment="1">
      <alignment horizontal="left" vertical="top"/>
    </xf>
    <xf numFmtId="0" fontId="1" fillId="0" borderId="47" xfId="0" applyFont="1" applyBorder="1" applyAlignment="1">
      <alignment vertical="center" wrapText="1"/>
    </xf>
    <xf numFmtId="0" fontId="1" fillId="0" borderId="48" xfId="0" applyFont="1" applyBorder="1" applyAlignment="1">
      <alignment vertical="center" wrapText="1"/>
    </xf>
    <xf numFmtId="0" fontId="0" fillId="0" borderId="39" xfId="0" applyBorder="1"/>
    <xf numFmtId="0" fontId="0" fillId="0" borderId="40" xfId="0" applyBorder="1"/>
    <xf numFmtId="0" fontId="0" fillId="0" borderId="41" xfId="0" applyBorder="1"/>
    <xf numFmtId="0" fontId="2" fillId="7" borderId="45" xfId="0" applyFont="1" applyFill="1" applyBorder="1" applyAlignment="1">
      <alignment vertical="center" wrapText="1"/>
    </xf>
    <xf numFmtId="0" fontId="3" fillId="7" borderId="49" xfId="0" applyFont="1" applyFill="1" applyBorder="1" applyAlignment="1">
      <alignment vertical="center" wrapText="1"/>
    </xf>
    <xf numFmtId="0" fontId="3" fillId="7" borderId="50" xfId="0" applyFont="1" applyFill="1" applyBorder="1" applyAlignment="1">
      <alignment vertical="center" wrapText="1"/>
    </xf>
    <xf numFmtId="0" fontId="0" fillId="0" borderId="46" xfId="0" applyBorder="1" applyAlignment="1">
      <alignment vertical="center" wrapText="1"/>
    </xf>
    <xf numFmtId="0" fontId="16" fillId="0" borderId="51" xfId="0" applyFont="1" applyBorder="1" applyAlignment="1">
      <alignment vertical="center" wrapText="1"/>
    </xf>
    <xf numFmtId="0" fontId="3" fillId="7" borderId="46" xfId="0" applyFont="1" applyFill="1" applyBorder="1" applyAlignment="1">
      <alignment vertical="center" wrapText="1"/>
    </xf>
    <xf numFmtId="0" fontId="3" fillId="7" borderId="51" xfId="0" applyFont="1" applyFill="1" applyBorder="1" applyAlignment="1">
      <alignment vertical="center" wrapText="1"/>
    </xf>
    <xf numFmtId="0" fontId="0" fillId="0" borderId="52" xfId="0" applyBorder="1" applyAlignment="1">
      <alignment vertical="center" wrapText="1"/>
    </xf>
    <xf numFmtId="0" fontId="0" fillId="0" borderId="53" xfId="0" applyBorder="1" applyAlignment="1">
      <alignment vertical="center" wrapText="1"/>
    </xf>
    <xf numFmtId="0" fontId="17" fillId="0" borderId="53" xfId="0" applyFont="1" applyBorder="1" applyAlignment="1">
      <alignment horizontal="left" vertical="center" wrapText="1" indent="4"/>
    </xf>
    <xf numFmtId="0" fontId="16" fillId="0" borderId="45" xfId="0" applyFont="1" applyBorder="1" applyAlignment="1">
      <alignment vertical="center" wrapText="1"/>
    </xf>
    <xf numFmtId="0" fontId="2" fillId="0" borderId="49" xfId="0" applyFont="1" applyBorder="1" applyAlignment="1">
      <alignment vertical="center" wrapText="1"/>
    </xf>
    <xf numFmtId="0" fontId="2" fillId="0" borderId="46" xfId="0" applyFont="1" applyBorder="1" applyAlignment="1">
      <alignment vertical="center" wrapText="1"/>
    </xf>
    <xf numFmtId="0" fontId="0" fillId="0" borderId="52" xfId="0" applyBorder="1" applyAlignment="1">
      <alignment vertical="top" wrapText="1"/>
    </xf>
    <xf numFmtId="0" fontId="0" fillId="0" borderId="53" xfId="0" applyBorder="1" applyAlignment="1">
      <alignment vertical="top" wrapText="1"/>
    </xf>
    <xf numFmtId="0" fontId="0" fillId="0" borderId="46" xfId="0" applyBorder="1" applyAlignment="1">
      <alignment vertical="top" wrapText="1"/>
    </xf>
    <xf numFmtId="0" fontId="0" fillId="0" borderId="45" xfId="0" applyBorder="1" applyAlignment="1">
      <alignment vertical="center" wrapText="1"/>
    </xf>
    <xf numFmtId="0" fontId="0" fillId="0" borderId="45" xfId="0" applyBorder="1" applyAlignment="1">
      <alignment vertical="top"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0" fillId="0" borderId="52" xfId="0" applyBorder="1" applyAlignment="1">
      <alignment horizontal="left" vertical="top" wrapText="1"/>
    </xf>
    <xf numFmtId="0" fontId="0" fillId="0" borderId="46" xfId="0" applyBorder="1" applyAlignment="1">
      <alignment horizontal="left" vertical="top" wrapText="1"/>
    </xf>
    <xf numFmtId="0" fontId="0" fillId="0" borderId="18" xfId="0" applyBorder="1"/>
    <xf numFmtId="0" fontId="0" fillId="0" borderId="53" xfId="0" applyBorder="1" applyAlignment="1">
      <alignment horizontal="left" vertical="top" wrapText="1"/>
    </xf>
    <xf numFmtId="0" fontId="0" fillId="0" borderId="28" xfId="0" applyBorder="1" applyAlignment="1">
      <alignment vertical="top" wrapText="1"/>
    </xf>
    <xf numFmtId="0" fontId="0" fillId="0" borderId="10" xfId="0" applyBorder="1" applyAlignment="1">
      <alignment vertical="top" wrapText="1"/>
    </xf>
    <xf numFmtId="0" fontId="8" fillId="0" borderId="2" xfId="0" applyFont="1" applyBorder="1" applyAlignment="1" applyProtection="1">
      <alignment horizontal="left" vertical="top" wrapText="1"/>
      <protection locked="0"/>
    </xf>
    <xf numFmtId="0" fontId="16" fillId="0" borderId="51" xfId="0" applyFont="1" applyBorder="1" applyAlignment="1">
      <alignment horizontal="left" vertical="center" wrapText="1"/>
    </xf>
    <xf numFmtId="0" fontId="14" fillId="0" borderId="51" xfId="1" applyBorder="1" applyAlignment="1">
      <alignment vertical="center" wrapText="1"/>
    </xf>
    <xf numFmtId="0" fontId="18" fillId="0" borderId="0" xfId="0" applyFont="1" applyAlignment="1">
      <alignment horizontal="left"/>
    </xf>
    <xf numFmtId="0" fontId="16" fillId="0" borderId="50" xfId="0" applyFont="1" applyBorder="1" applyAlignment="1">
      <alignment horizontal="left" vertical="center" wrapText="1"/>
    </xf>
    <xf numFmtId="0" fontId="16" fillId="0" borderId="50" xfId="0" applyFont="1" applyBorder="1" applyAlignment="1">
      <alignment vertical="center" wrapText="1"/>
    </xf>
    <xf numFmtId="0" fontId="14" fillId="0" borderId="50" xfId="1" applyBorder="1" applyAlignment="1">
      <alignment vertical="center" wrapText="1"/>
    </xf>
    <xf numFmtId="0" fontId="16" fillId="0" borderId="54" xfId="0" applyFont="1" applyBorder="1" applyAlignment="1">
      <alignment vertical="center" wrapText="1"/>
    </xf>
    <xf numFmtId="0" fontId="16" fillId="0" borderId="55" xfId="0" applyFont="1" applyBorder="1" applyAlignment="1">
      <alignment horizontal="left" vertical="center" wrapText="1"/>
    </xf>
    <xf numFmtId="0" fontId="16" fillId="0" borderId="55" xfId="0" applyFont="1" applyBorder="1" applyAlignment="1">
      <alignment vertical="center" wrapText="1"/>
    </xf>
    <xf numFmtId="0" fontId="14" fillId="0" borderId="55" xfId="1" applyBorder="1" applyAlignment="1">
      <alignment vertical="center" wrapText="1"/>
    </xf>
    <xf numFmtId="0" fontId="3" fillId="0" borderId="15" xfId="0" applyFont="1" applyBorder="1" applyAlignment="1" applyProtection="1">
      <alignment horizontal="left" vertical="top" wrapText="1"/>
    </xf>
    <xf numFmtId="0" fontId="0" fillId="0" borderId="15" xfId="0" applyFont="1" applyBorder="1" applyAlignment="1">
      <alignment vertical="top" wrapText="1"/>
    </xf>
    <xf numFmtId="0" fontId="0" fillId="0" borderId="15" xfId="0" applyFont="1" applyBorder="1" applyAlignment="1">
      <alignment wrapText="1"/>
    </xf>
    <xf numFmtId="0" fontId="0" fillId="0" borderId="0" xfId="0" applyFont="1" applyAlignment="1">
      <alignment vertical="top" wrapText="1"/>
    </xf>
    <xf numFmtId="0" fontId="0" fillId="0" borderId="15" xfId="0" applyFont="1" applyBorder="1" applyAlignment="1">
      <alignment horizontal="left" vertical="top" wrapText="1"/>
    </xf>
    <xf numFmtId="0" fontId="0" fillId="0" borderId="18" xfId="0" applyFont="1" applyBorder="1" applyAlignment="1">
      <alignment horizontal="left" vertical="top" wrapText="1"/>
    </xf>
    <xf numFmtId="0" fontId="0" fillId="0" borderId="18" xfId="0" applyFont="1" applyBorder="1" applyAlignment="1">
      <alignment wrapText="1"/>
    </xf>
    <xf numFmtId="0" fontId="0" fillId="0" borderId="18" xfId="0" applyFont="1" applyBorder="1" applyAlignment="1">
      <alignment vertical="top" wrapText="1"/>
    </xf>
    <xf numFmtId="0" fontId="16" fillId="0" borderId="51" xfId="0" applyFont="1" applyBorder="1" applyAlignment="1">
      <alignment horizontal="center" vertical="center" wrapText="1"/>
    </xf>
    <xf numFmtId="0" fontId="11" fillId="0" borderId="10" xfId="0" applyFont="1" applyBorder="1" applyAlignment="1">
      <alignment horizontal="center"/>
    </xf>
    <xf numFmtId="0" fontId="0" fillId="0" borderId="23" xfId="0" applyBorder="1" applyAlignment="1">
      <alignment horizontal="righ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5" fillId="0" borderId="6" xfId="0" applyFont="1" applyBorder="1" applyAlignment="1">
      <alignment horizontal="center" vertical="top" wrapText="1"/>
    </xf>
    <xf numFmtId="0" fontId="15" fillId="0" borderId="7" xfId="0" applyFont="1" applyBorder="1" applyAlignment="1">
      <alignment horizontal="center" vertical="top" wrapText="1"/>
    </xf>
    <xf numFmtId="0" fontId="15" fillId="0" borderId="8" xfId="0" applyFont="1" applyBorder="1" applyAlignment="1">
      <alignment horizontal="center"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xf>
    <xf numFmtId="0" fontId="2" fillId="0" borderId="8" xfId="0" applyFont="1" applyBorder="1" applyAlignment="1">
      <alignment horizontal="left" vertical="top"/>
    </xf>
    <xf numFmtId="0" fontId="3" fillId="0" borderId="6" xfId="0" applyFont="1" applyBorder="1" applyAlignment="1" applyProtection="1">
      <alignment horizontal="left" vertical="top" wrapText="1"/>
      <protection locked="0"/>
    </xf>
    <xf numFmtId="0" fontId="0" fillId="0" borderId="7" xfId="0" applyBorder="1" applyAlignment="1" applyProtection="1">
      <alignment vertical="top" wrapText="1"/>
      <protection locked="0"/>
    </xf>
    <xf numFmtId="0" fontId="0" fillId="0" borderId="8" xfId="0" applyBorder="1" applyAlignment="1" applyProtection="1">
      <alignment vertical="top" wrapText="1"/>
      <protection locked="0"/>
    </xf>
    <xf numFmtId="0" fontId="3" fillId="0" borderId="6" xfId="0" applyFont="1" applyBorder="1" applyAlignment="1" applyProtection="1">
      <alignment horizontal="left" wrapText="1"/>
      <protection locked="0"/>
    </xf>
    <xf numFmtId="0" fontId="0" fillId="0" borderId="7" xfId="0" applyBorder="1" applyAlignment="1">
      <alignment wrapText="1"/>
    </xf>
    <xf numFmtId="0" fontId="0" fillId="0" borderId="8" xfId="0" applyBorder="1" applyAlignment="1">
      <alignment wrapText="1"/>
    </xf>
    <xf numFmtId="0" fontId="8" fillId="0" borderId="1" xfId="0" applyFont="1" applyBorder="1" applyAlignment="1" applyProtection="1">
      <alignment horizontal="left" vertical="top" wrapText="1"/>
      <protection locked="0"/>
    </xf>
    <xf numFmtId="0" fontId="8" fillId="0" borderId="11" xfId="0" applyFont="1" applyBorder="1" applyAlignment="1" applyProtection="1">
      <alignment horizontal="left" vertical="top" wrapText="1"/>
      <protection locked="0"/>
    </xf>
    <xf numFmtId="0" fontId="8" fillId="0" borderId="12"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2" fillId="0" borderId="4" xfId="0" applyFont="1" applyBorder="1" applyAlignment="1">
      <alignment horizontal="left" vertical="top" wrapText="1"/>
    </xf>
    <xf numFmtId="0" fontId="0" fillId="0" borderId="13" xfId="0" applyBorder="1" applyAlignment="1">
      <alignment horizontal="left" vertical="top" wrapText="1"/>
    </xf>
    <xf numFmtId="0" fontId="3" fillId="0" borderId="1" xfId="0" applyFont="1" applyBorder="1" applyAlignment="1" applyProtection="1">
      <alignment horizontal="left" vertical="top" wrapText="1"/>
      <protection locked="0"/>
    </xf>
    <xf numFmtId="0" fontId="3" fillId="0" borderId="11"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2" fillId="0" borderId="15" xfId="0" applyFont="1" applyBorder="1" applyAlignment="1">
      <alignment horizontal="center" vertical="top" wrapText="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8" xfId="0" applyFont="1" applyBorder="1" applyAlignment="1">
      <alignment horizontal="center" vertical="center" wrapText="1"/>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0" borderId="25" xfId="0" applyFont="1" applyBorder="1" applyAlignment="1">
      <alignment horizontal="center" vertical="center"/>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2" fillId="0" borderId="30" xfId="0" applyFont="1" applyBorder="1" applyAlignment="1">
      <alignment horizontal="center" vertical="top" wrapText="1"/>
    </xf>
    <xf numFmtId="0" fontId="2" fillId="0" borderId="31" xfId="0" applyFont="1" applyBorder="1" applyAlignment="1">
      <alignment horizontal="center" vertical="top" wrapText="1"/>
    </xf>
    <xf numFmtId="0" fontId="2" fillId="0" borderId="32" xfId="0" applyFont="1" applyBorder="1" applyAlignment="1">
      <alignment horizontal="center"/>
    </xf>
    <xf numFmtId="0" fontId="2" fillId="0" borderId="33" xfId="0" applyFont="1" applyBorder="1" applyAlignment="1">
      <alignment horizontal="center"/>
    </xf>
    <xf numFmtId="0" fontId="2" fillId="0" borderId="34" xfId="0" applyFont="1" applyBorder="1" applyAlignment="1">
      <alignment horizontal="center"/>
    </xf>
    <xf numFmtId="0" fontId="0" fillId="0" borderId="1"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xf numFmtId="0" fontId="0" fillId="0" borderId="2" xfId="0" applyBorder="1" applyAlignment="1">
      <alignment horizontal="left" vertical="top"/>
    </xf>
    <xf numFmtId="0" fontId="0" fillId="0" borderId="0" xfId="0"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19" fillId="0" borderId="1" xfId="0" applyFont="1" applyBorder="1" applyAlignment="1">
      <alignment horizontal="left" vertical="center"/>
    </xf>
    <xf numFmtId="0" fontId="19" fillId="0" borderId="2" xfId="0" applyFont="1" applyBorder="1" applyAlignment="1">
      <alignment horizontal="left" vertical="center"/>
    </xf>
    <xf numFmtId="0" fontId="19" fillId="0" borderId="4" xfId="0" applyFont="1" applyBorder="1" applyAlignment="1">
      <alignment horizontal="left" vertical="center"/>
    </xf>
  </cellXfs>
  <cellStyles count="2">
    <cellStyle name="Hyperlink" xfId="1" builtinId="8"/>
    <cellStyle name="Normal" xfId="0" builtinId="0"/>
  </cellStyles>
  <dxfs count="324">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ho.int/publications/i/item/handbook-for-public-health-capacity-building-at-ground-crossings-and-cross-border-collaboratio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ElfatihRabie@gmail.com" TargetMode="External"/><Relationship Id="rId3" Type="http://schemas.openxmlformats.org/officeDocument/2006/relationships/hyperlink" Target="mailto:darreer@gmail.com" TargetMode="External"/><Relationship Id="rId7" Type="http://schemas.openxmlformats.org/officeDocument/2006/relationships/hyperlink" Target="mailto:tahanydm94@gmail.com" TargetMode="External"/><Relationship Id="rId2" Type="http://schemas.openxmlformats.org/officeDocument/2006/relationships/hyperlink" Target="mailto:darreer@gmail.com" TargetMode="External"/><Relationship Id="rId1" Type="http://schemas.openxmlformats.org/officeDocument/2006/relationships/hyperlink" Target="mailto:ElfatihRabie@gmail.com" TargetMode="External"/><Relationship Id="rId6" Type="http://schemas.openxmlformats.org/officeDocument/2006/relationships/hyperlink" Target="mailto:airportportsudan@gmail.com" TargetMode="External"/><Relationship Id="rId5" Type="http://schemas.openxmlformats.org/officeDocument/2006/relationships/hyperlink" Target="mailto:airportportsudan@gmail.com" TargetMode="External"/><Relationship Id="rId10" Type="http://schemas.openxmlformats.org/officeDocument/2006/relationships/printerSettings" Target="../printerSettings/printerSettings2.bin"/><Relationship Id="rId4" Type="http://schemas.openxmlformats.org/officeDocument/2006/relationships/hyperlink" Target="mailto:mustafaanshish@gmail.com" TargetMode="External"/><Relationship Id="rId9" Type="http://schemas.openxmlformats.org/officeDocument/2006/relationships/hyperlink" Target="mailto:airportportsudan@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18"/>
  <sheetViews>
    <sheetView workbookViewId="0">
      <selection activeCell="C3" sqref="C3:O3"/>
    </sheetView>
  </sheetViews>
  <sheetFormatPr defaultColWidth="11" defaultRowHeight="15.6" x14ac:dyDescent="0.3"/>
  <sheetData>
    <row r="2" spans="3:15" ht="16.2" thickBot="1" x14ac:dyDescent="0.35"/>
    <row r="3" spans="3:15" ht="36" customHeight="1" thickBot="1" x14ac:dyDescent="0.35">
      <c r="C3" s="194" t="s">
        <v>0</v>
      </c>
      <c r="D3" s="195"/>
      <c r="E3" s="195"/>
      <c r="F3" s="195"/>
      <c r="G3" s="195"/>
      <c r="H3" s="195"/>
      <c r="I3" s="195"/>
      <c r="J3" s="195"/>
      <c r="K3" s="195"/>
      <c r="L3" s="195"/>
      <c r="M3" s="195"/>
      <c r="N3" s="195"/>
      <c r="O3" s="196"/>
    </row>
    <row r="4" spans="3:15" ht="16.2" thickBot="1" x14ac:dyDescent="0.35"/>
    <row r="5" spans="3:15" ht="15.6" customHeight="1" thickBot="1" x14ac:dyDescent="0.35">
      <c r="C5" s="191" t="s">
        <v>1</v>
      </c>
      <c r="D5" s="192"/>
      <c r="E5" s="192"/>
      <c r="F5" s="192"/>
      <c r="G5" s="192"/>
      <c r="H5" s="192"/>
      <c r="I5" s="192"/>
      <c r="J5" s="192"/>
      <c r="K5" s="192"/>
      <c r="L5" s="192"/>
      <c r="M5" s="192"/>
      <c r="N5" s="192"/>
      <c r="O5" s="193"/>
    </row>
    <row r="6" spans="3:15" x14ac:dyDescent="0.3">
      <c r="C6" s="90" t="s">
        <v>2</v>
      </c>
      <c r="D6" s="40"/>
      <c r="E6" s="40"/>
      <c r="F6" s="40"/>
      <c r="G6" s="40"/>
      <c r="H6" s="40"/>
      <c r="I6" s="40"/>
      <c r="J6" s="40"/>
      <c r="K6" s="40"/>
      <c r="L6" s="40"/>
      <c r="M6" s="40"/>
      <c r="N6" s="40"/>
      <c r="O6" s="40"/>
    </row>
    <row r="7" spans="3:15" ht="16.2" thickBot="1" x14ac:dyDescent="0.35">
      <c r="C7" s="90"/>
      <c r="D7" s="40"/>
      <c r="E7" s="40"/>
      <c r="F7" s="40"/>
      <c r="G7" s="40"/>
      <c r="H7" s="40"/>
      <c r="I7" s="40"/>
      <c r="J7" s="40"/>
      <c r="K7" s="40"/>
      <c r="L7" s="40"/>
      <c r="M7" s="40"/>
      <c r="N7" s="40"/>
      <c r="O7" s="40"/>
    </row>
    <row r="8" spans="3:15" ht="85.95" customHeight="1" thickBot="1" x14ac:dyDescent="0.35">
      <c r="C8" s="197" t="s">
        <v>3</v>
      </c>
      <c r="D8" s="198"/>
      <c r="E8" s="198"/>
      <c r="F8" s="198"/>
      <c r="G8" s="198"/>
      <c r="H8" s="198"/>
      <c r="I8" s="198"/>
      <c r="J8" s="198"/>
      <c r="K8" s="198"/>
      <c r="L8" s="198"/>
      <c r="M8" s="198"/>
      <c r="N8" s="198"/>
      <c r="O8" s="199"/>
    </row>
    <row r="9" spans="3:15" ht="40.200000000000003" customHeight="1" thickBot="1" x14ac:dyDescent="0.35">
      <c r="C9" s="191" t="s">
        <v>4</v>
      </c>
      <c r="D9" s="192"/>
      <c r="E9" s="192"/>
      <c r="F9" s="192"/>
      <c r="G9" s="192"/>
      <c r="H9" s="192"/>
      <c r="I9" s="192"/>
      <c r="J9" s="192"/>
      <c r="K9" s="192"/>
      <c r="L9" s="192"/>
      <c r="M9" s="192"/>
      <c r="N9" s="192"/>
      <c r="O9" s="193"/>
    </row>
    <row r="10" spans="3:15" ht="54" customHeight="1" thickBot="1" x14ac:dyDescent="0.35">
      <c r="C10" s="191" t="s">
        <v>5</v>
      </c>
      <c r="D10" s="192"/>
      <c r="E10" s="192"/>
      <c r="F10" s="192"/>
      <c r="G10" s="192"/>
      <c r="H10" s="192"/>
      <c r="I10" s="192"/>
      <c r="J10" s="192"/>
      <c r="K10" s="192"/>
      <c r="L10" s="192"/>
      <c r="M10" s="192"/>
      <c r="N10" s="192"/>
      <c r="O10" s="193"/>
    </row>
    <row r="11" spans="3:15" ht="230.7" customHeight="1" thickBot="1" x14ac:dyDescent="0.35">
      <c r="C11" s="191" t="s">
        <v>6</v>
      </c>
      <c r="D11" s="192"/>
      <c r="E11" s="192"/>
      <c r="F11" s="192"/>
      <c r="G11" s="192"/>
      <c r="H11" s="192"/>
      <c r="I11" s="192"/>
      <c r="J11" s="192"/>
      <c r="K11" s="192"/>
      <c r="L11" s="192"/>
      <c r="M11" s="192"/>
      <c r="N11" s="192"/>
      <c r="O11" s="193"/>
    </row>
    <row r="12" spans="3:15" ht="204" customHeight="1" thickBot="1" x14ac:dyDescent="0.35">
      <c r="C12" s="191" t="s">
        <v>7</v>
      </c>
      <c r="D12" s="192"/>
      <c r="E12" s="192"/>
      <c r="F12" s="192"/>
      <c r="G12" s="192"/>
      <c r="H12" s="192"/>
      <c r="I12" s="192"/>
      <c r="J12" s="192"/>
      <c r="K12" s="192"/>
      <c r="L12" s="192"/>
      <c r="M12" s="192"/>
      <c r="N12" s="192"/>
      <c r="O12" s="193"/>
    </row>
    <row r="13" spans="3:15" ht="56.7" customHeight="1" thickBot="1" x14ac:dyDescent="0.35">
      <c r="C13" s="191" t="s">
        <v>8</v>
      </c>
      <c r="D13" s="192"/>
      <c r="E13" s="192"/>
      <c r="F13" s="192"/>
      <c r="G13" s="192"/>
      <c r="H13" s="192"/>
      <c r="I13" s="192"/>
      <c r="J13" s="192"/>
      <c r="K13" s="192"/>
      <c r="L13" s="192"/>
      <c r="M13" s="192"/>
      <c r="N13" s="192"/>
      <c r="O13" s="193"/>
    </row>
    <row r="14" spans="3:15" ht="21" customHeight="1" x14ac:dyDescent="0.3">
      <c r="C14" s="40" t="s">
        <v>9</v>
      </c>
      <c r="D14" s="40"/>
      <c r="E14" s="40"/>
      <c r="F14" s="40"/>
      <c r="G14" s="40"/>
      <c r="H14" s="40"/>
      <c r="I14" s="40"/>
      <c r="J14" s="40"/>
      <c r="K14" s="40"/>
      <c r="L14" s="40"/>
      <c r="M14" s="40"/>
      <c r="N14" s="40"/>
      <c r="O14" s="40"/>
    </row>
    <row r="15" spans="3:15" ht="13.95" customHeight="1" x14ac:dyDescent="0.3">
      <c r="C15" s="40"/>
      <c r="D15" s="40"/>
      <c r="E15" s="40"/>
      <c r="F15" s="40"/>
      <c r="G15" s="40"/>
      <c r="H15" s="40"/>
      <c r="I15" s="40"/>
      <c r="J15" s="40"/>
      <c r="K15" s="40"/>
      <c r="L15" s="40"/>
      <c r="M15" s="40"/>
      <c r="N15" s="40"/>
      <c r="O15" s="40"/>
    </row>
    <row r="16" spans="3:15" ht="15.6" hidden="1" customHeight="1" x14ac:dyDescent="0.3">
      <c r="C16" s="40"/>
      <c r="D16" s="40"/>
      <c r="E16" s="40"/>
      <c r="F16" s="40"/>
      <c r="G16" s="40"/>
      <c r="H16" s="40"/>
      <c r="I16" s="40"/>
      <c r="J16" s="40"/>
      <c r="K16" s="40"/>
      <c r="L16" s="40"/>
      <c r="M16" s="40"/>
      <c r="N16" s="40"/>
      <c r="O16" s="40"/>
    </row>
    <row r="17" spans="3:15" ht="0.6" customHeight="1" x14ac:dyDescent="0.3">
      <c r="C17" s="40"/>
      <c r="D17" s="40"/>
      <c r="E17" s="40"/>
      <c r="F17" s="40"/>
      <c r="G17" s="40"/>
      <c r="H17" s="40"/>
      <c r="I17" s="40"/>
      <c r="J17" s="40"/>
      <c r="K17" s="40"/>
      <c r="L17" s="40"/>
      <c r="M17" s="40"/>
      <c r="N17" s="40"/>
      <c r="O17" s="40"/>
    </row>
    <row r="18" spans="3:15" ht="38.700000000000003" customHeight="1" x14ac:dyDescent="0.3">
      <c r="C18" s="40"/>
      <c r="D18" s="40"/>
      <c r="E18" s="40"/>
      <c r="F18" s="40"/>
      <c r="G18" s="40"/>
      <c r="H18" s="40"/>
      <c r="I18" s="40"/>
      <c r="J18" s="40"/>
      <c r="K18" s="40"/>
      <c r="L18" s="40"/>
      <c r="M18" s="40"/>
      <c r="N18" s="40"/>
      <c r="O18" s="40"/>
    </row>
  </sheetData>
  <mergeCells count="8">
    <mergeCell ref="C12:O12"/>
    <mergeCell ref="C13:O13"/>
    <mergeCell ref="C5:O5"/>
    <mergeCell ref="C3:O3"/>
    <mergeCell ref="C8:O8"/>
    <mergeCell ref="C9:O9"/>
    <mergeCell ref="C10:O10"/>
    <mergeCell ref="C11:O11"/>
  </mergeCells>
  <hyperlinks>
    <hyperlink ref="C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6"/>
  <sheetViews>
    <sheetView topLeftCell="B19" workbookViewId="0">
      <selection activeCell="C5" sqref="C5"/>
    </sheetView>
  </sheetViews>
  <sheetFormatPr defaultColWidth="11" defaultRowHeight="15.6" x14ac:dyDescent="0.3"/>
  <cols>
    <col min="2" max="2" width="49.8984375" customWidth="1"/>
    <col min="3" max="3" width="58.3984375" customWidth="1"/>
    <col min="4" max="4" width="48.59765625" customWidth="1"/>
    <col min="5" max="5" width="41.69921875" customWidth="1"/>
    <col min="6" max="6" width="37.5" customWidth="1"/>
  </cols>
  <sheetData>
    <row r="2" spans="2:6" x14ac:dyDescent="0.3">
      <c r="B2" s="14" t="s">
        <v>10</v>
      </c>
      <c r="C2" s="9"/>
    </row>
    <row r="3" spans="2:6" ht="16.2" thickBot="1" x14ac:dyDescent="0.35"/>
    <row r="4" spans="2:6" ht="16.2" thickBot="1" x14ac:dyDescent="0.35">
      <c r="B4" s="138" t="s">
        <v>11</v>
      </c>
      <c r="C4" s="140" t="s">
        <v>350</v>
      </c>
    </row>
    <row r="5" spans="2:6" ht="16.2" thickBot="1" x14ac:dyDescent="0.35">
      <c r="B5" s="139" t="s">
        <v>12</v>
      </c>
      <c r="C5" t="s">
        <v>351</v>
      </c>
    </row>
    <row r="6" spans="2:6" ht="16.2" thickBot="1" x14ac:dyDescent="0.35">
      <c r="B6" s="139" t="s">
        <v>13</v>
      </c>
      <c r="C6" t="s">
        <v>353</v>
      </c>
    </row>
    <row r="7" spans="2:6" ht="16.2" thickBot="1" x14ac:dyDescent="0.35">
      <c r="B7" s="139" t="s">
        <v>14</v>
      </c>
      <c r="C7" t="s">
        <v>352</v>
      </c>
    </row>
    <row r="8" spans="2:6" ht="16.2" thickBot="1" x14ac:dyDescent="0.35">
      <c r="B8" s="139" t="s">
        <v>15</v>
      </c>
      <c r="C8" t="s">
        <v>357</v>
      </c>
    </row>
    <row r="9" spans="2:6" ht="16.2" thickBot="1" x14ac:dyDescent="0.35">
      <c r="B9" s="139" t="s">
        <v>16</v>
      </c>
      <c r="C9" t="s">
        <v>354</v>
      </c>
    </row>
    <row r="10" spans="2:6" ht="16.2" thickBot="1" x14ac:dyDescent="0.35">
      <c r="B10" s="139" t="s">
        <v>17</v>
      </c>
      <c r="C10" t="s">
        <v>355</v>
      </c>
    </row>
    <row r="11" spans="2:6" ht="16.2" thickBot="1" x14ac:dyDescent="0.35">
      <c r="B11" s="139" t="s">
        <v>18</v>
      </c>
      <c r="C11" s="141" t="s">
        <v>41</v>
      </c>
    </row>
    <row r="12" spans="2:6" ht="16.2" thickBot="1" x14ac:dyDescent="0.35">
      <c r="B12" s="139" t="s">
        <v>19</v>
      </c>
      <c r="C12" s="142"/>
    </row>
    <row r="13" spans="2:6" ht="16.2" thickBot="1" x14ac:dyDescent="0.35"/>
    <row r="14" spans="2:6" ht="30.6" customHeight="1" thickBot="1" x14ac:dyDescent="0.35">
      <c r="B14" s="143" t="s">
        <v>197</v>
      </c>
      <c r="C14" s="144" t="s">
        <v>20</v>
      </c>
      <c r="D14" s="145" t="s">
        <v>21</v>
      </c>
      <c r="E14" s="145" t="s">
        <v>22</v>
      </c>
      <c r="F14" s="145" t="s">
        <v>23</v>
      </c>
    </row>
    <row r="15" spans="2:6" ht="16.2" thickBot="1" x14ac:dyDescent="0.35">
      <c r="B15" s="146" t="s">
        <v>12</v>
      </c>
      <c r="C15" s="176"/>
      <c r="D15" s="147"/>
      <c r="E15" s="147"/>
      <c r="F15" s="147"/>
    </row>
    <row r="16" spans="2:6" ht="16.2" thickBot="1" x14ac:dyDescent="0.35">
      <c r="B16" s="146" t="s">
        <v>13</v>
      </c>
      <c r="C16" s="177"/>
      <c r="D16" s="173"/>
      <c r="E16" s="147"/>
      <c r="F16" s="147"/>
    </row>
    <row r="17" spans="2:6" ht="16.2" thickBot="1" x14ac:dyDescent="0.35">
      <c r="B17" s="146" t="s">
        <v>14</v>
      </c>
      <c r="C17" s="178"/>
      <c r="D17" s="174"/>
      <c r="E17" s="147"/>
      <c r="F17" s="147"/>
    </row>
    <row r="18" spans="2:6" ht="16.2" thickBot="1" x14ac:dyDescent="0.35">
      <c r="B18" s="146" t="s">
        <v>15</v>
      </c>
      <c r="C18" s="179"/>
      <c r="D18" s="175"/>
      <c r="E18" s="147"/>
      <c r="F18" s="147"/>
    </row>
    <row r="19" spans="2:6" ht="16.2" thickBot="1" x14ac:dyDescent="0.35">
      <c r="B19" s="146" t="s">
        <v>16</v>
      </c>
      <c r="C19" s="179"/>
      <c r="D19" s="175"/>
      <c r="E19" s="147"/>
      <c r="F19" s="147"/>
    </row>
    <row r="20" spans="2:6" ht="16.2" thickBot="1" x14ac:dyDescent="0.35">
      <c r="B20" s="146" t="s">
        <v>17</v>
      </c>
      <c r="C20" s="178"/>
      <c r="D20" s="174"/>
      <c r="E20" s="147"/>
      <c r="F20" s="147"/>
    </row>
    <row r="21" spans="2:6" ht="16.2" thickBot="1" x14ac:dyDescent="0.35">
      <c r="B21" s="148" t="s">
        <v>24</v>
      </c>
      <c r="C21" s="149" t="s">
        <v>20</v>
      </c>
      <c r="D21" s="149" t="s">
        <v>21</v>
      </c>
      <c r="E21" s="149" t="s">
        <v>22</v>
      </c>
      <c r="F21" s="149" t="s">
        <v>23</v>
      </c>
    </row>
    <row r="22" spans="2:6" ht="16.2" thickBot="1" x14ac:dyDescent="0.35">
      <c r="B22" s="146" t="s">
        <v>25</v>
      </c>
      <c r="C22" s="147"/>
      <c r="D22" s="147"/>
      <c r="E22" s="147"/>
      <c r="F22" s="147"/>
    </row>
    <row r="23" spans="2:6" ht="16.2" thickBot="1" x14ac:dyDescent="0.35">
      <c r="B23" s="146" t="s">
        <v>13</v>
      </c>
      <c r="C23" s="147"/>
      <c r="D23" s="147"/>
      <c r="E23" s="147"/>
      <c r="F23" s="147"/>
    </row>
    <row r="24" spans="2:6" ht="16.2" thickBot="1" x14ac:dyDescent="0.35">
      <c r="B24" s="146" t="s">
        <v>15</v>
      </c>
      <c r="C24" s="147"/>
      <c r="D24" s="147"/>
      <c r="E24" s="147"/>
      <c r="F24" s="147"/>
    </row>
    <row r="25" spans="2:6" ht="16.2" thickBot="1" x14ac:dyDescent="0.35"/>
    <row r="26" spans="2:6" ht="31.8" thickBot="1" x14ac:dyDescent="0.35">
      <c r="B26" s="143" t="s">
        <v>196</v>
      </c>
      <c r="C26" s="144" t="s">
        <v>20</v>
      </c>
      <c r="D26" s="145" t="s">
        <v>21</v>
      </c>
      <c r="E26" s="145" t="s">
        <v>22</v>
      </c>
      <c r="F26" s="145" t="s">
        <v>23</v>
      </c>
    </row>
    <row r="27" spans="2:6" ht="16.2" thickBot="1" x14ac:dyDescent="0.35">
      <c r="B27" s="146" t="s">
        <v>12</v>
      </c>
      <c r="C27" s="147" t="s">
        <v>324</v>
      </c>
      <c r="D27" s="147" t="s">
        <v>325</v>
      </c>
      <c r="E27" s="147" t="s">
        <v>343</v>
      </c>
    </row>
    <row r="28" spans="2:6" ht="16.2" thickBot="1" x14ac:dyDescent="0.35">
      <c r="B28" s="146" t="s">
        <v>13</v>
      </c>
      <c r="C28" s="170" t="s">
        <v>328</v>
      </c>
      <c r="D28" s="170" t="s">
        <v>327</v>
      </c>
      <c r="E28" s="170" t="s">
        <v>346</v>
      </c>
    </row>
    <row r="29" spans="2:6" ht="17.399999999999999" thickBot="1" x14ac:dyDescent="0.35">
      <c r="B29" s="146" t="s">
        <v>14</v>
      </c>
      <c r="C29" s="147"/>
      <c r="D29" s="172"/>
      <c r="E29" s="147"/>
      <c r="F29" s="147"/>
    </row>
    <row r="30" spans="2:6" ht="16.2" thickBot="1" x14ac:dyDescent="0.35">
      <c r="B30" s="146" t="s">
        <v>15</v>
      </c>
      <c r="C30" s="171" t="s">
        <v>329</v>
      </c>
      <c r="D30" s="90" t="s">
        <v>326</v>
      </c>
      <c r="E30" s="171" t="s">
        <v>349</v>
      </c>
      <c r="F30" s="171"/>
    </row>
    <row r="31" spans="2:6" ht="16.2" thickBot="1" x14ac:dyDescent="0.35">
      <c r="B31" s="146" t="s">
        <v>16</v>
      </c>
      <c r="C31" s="171" t="s">
        <v>329</v>
      </c>
      <c r="D31" s="90" t="s">
        <v>341</v>
      </c>
      <c r="E31" s="171" t="s">
        <v>349</v>
      </c>
      <c r="F31" s="171"/>
    </row>
    <row r="32" spans="2:6" ht="16.2" thickBot="1" x14ac:dyDescent="0.35">
      <c r="B32" s="146" t="s">
        <v>17</v>
      </c>
      <c r="C32" t="s">
        <v>355</v>
      </c>
      <c r="D32" t="s">
        <v>355</v>
      </c>
      <c r="E32" t="s">
        <v>355</v>
      </c>
      <c r="F32" s="147"/>
    </row>
    <row r="33" spans="2:6" ht="16.2" thickBot="1" x14ac:dyDescent="0.35">
      <c r="B33" s="148" t="s">
        <v>26</v>
      </c>
      <c r="C33" s="149" t="s">
        <v>20</v>
      </c>
      <c r="D33" s="145" t="s">
        <v>21</v>
      </c>
      <c r="E33" s="145" t="s">
        <v>22</v>
      </c>
      <c r="F33" s="145" t="s">
        <v>23</v>
      </c>
    </row>
    <row r="34" spans="2:6" ht="16.2" thickBot="1" x14ac:dyDescent="0.35">
      <c r="B34" s="146" t="s">
        <v>25</v>
      </c>
      <c r="C34" s="147" t="s">
        <v>347</v>
      </c>
      <c r="D34" s="147" t="s">
        <v>342</v>
      </c>
      <c r="E34" s="147" t="s">
        <v>343</v>
      </c>
      <c r="F34" s="147"/>
    </row>
    <row r="35" spans="2:6" ht="16.2" thickBot="1" x14ac:dyDescent="0.35">
      <c r="B35" s="146" t="s">
        <v>13</v>
      </c>
      <c r="C35" s="170" t="s">
        <v>348</v>
      </c>
      <c r="D35" s="170" t="s">
        <v>345</v>
      </c>
      <c r="E35" s="170" t="s">
        <v>346</v>
      </c>
      <c r="F35" s="170"/>
    </row>
    <row r="36" spans="2:6" ht="16.2" thickBot="1" x14ac:dyDescent="0.35">
      <c r="B36" s="146" t="s">
        <v>15</v>
      </c>
      <c r="C36" s="171" t="s">
        <v>356</v>
      </c>
      <c r="D36" s="171" t="s">
        <v>344</v>
      </c>
      <c r="E36" s="171" t="s">
        <v>349</v>
      </c>
      <c r="F36" s="147"/>
    </row>
  </sheetData>
  <hyperlinks>
    <hyperlink ref="C30" r:id="rId1"/>
    <hyperlink ref="D30" r:id="rId2"/>
    <hyperlink ref="D31" r:id="rId3" display="darreer@gmail.com"/>
    <hyperlink ref="D36" r:id="rId4"/>
    <hyperlink ref="E30" r:id="rId5"/>
    <hyperlink ref="E31" r:id="rId6"/>
    <hyperlink ref="C36" r:id="rId7"/>
    <hyperlink ref="C31" r:id="rId8"/>
    <hyperlink ref="E36" r:id="rId9"/>
  </hyperlink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opLeftCell="A4" zoomScale="95" zoomScaleNormal="95" workbookViewId="0">
      <selection activeCell="K14" sqref="K14"/>
    </sheetView>
  </sheetViews>
  <sheetFormatPr defaultColWidth="8.69921875" defaultRowHeight="15.6" x14ac:dyDescent="0.3"/>
  <cols>
    <col min="1" max="1" width="81.09765625" customWidth="1"/>
    <col min="2" max="2" width="13.3984375" customWidth="1"/>
    <col min="3" max="3" width="12.59765625" customWidth="1"/>
    <col min="4" max="4" width="11.19921875" customWidth="1"/>
    <col min="5" max="5" width="14.5" customWidth="1"/>
    <col min="6" max="6" width="12" customWidth="1"/>
    <col min="7" max="7" width="11.69921875" customWidth="1"/>
    <col min="8" max="8" width="17.3984375" customWidth="1"/>
    <col min="9" max="9" width="12.19921875" customWidth="1"/>
    <col min="10" max="10" width="14.09765625" customWidth="1"/>
    <col min="11" max="11" width="13.59765625" customWidth="1"/>
    <col min="12" max="12" width="13.5" customWidth="1"/>
    <col min="13" max="13" width="11.09765625" customWidth="1"/>
  </cols>
  <sheetData>
    <row r="1" spans="1:11" ht="16.2" thickBot="1" x14ac:dyDescent="0.35"/>
    <row r="2" spans="1:11" ht="124.95" customHeight="1" x14ac:dyDescent="0.3">
      <c r="A2" s="150" t="s">
        <v>198</v>
      </c>
    </row>
    <row r="3" spans="1:11" ht="35.4" customHeight="1" x14ac:dyDescent="0.3">
      <c r="A3" s="151" t="s">
        <v>199</v>
      </c>
    </row>
    <row r="4" spans="1:11" x14ac:dyDescent="0.3">
      <c r="A4" s="152" t="s">
        <v>200</v>
      </c>
    </row>
    <row r="5" spans="1:11" x14ac:dyDescent="0.3">
      <c r="A5" s="152" t="s">
        <v>202</v>
      </c>
    </row>
    <row r="6" spans="1:11" x14ac:dyDescent="0.3">
      <c r="A6" s="152" t="s">
        <v>201</v>
      </c>
    </row>
    <row r="7" spans="1:11" ht="31.2" x14ac:dyDescent="0.3">
      <c r="A7" s="152" t="s">
        <v>203</v>
      </c>
    </row>
    <row r="8" spans="1:11" x14ac:dyDescent="0.3">
      <c r="A8" s="152" t="s">
        <v>204</v>
      </c>
    </row>
    <row r="9" spans="1:11" ht="50.4" customHeight="1" x14ac:dyDescent="0.3">
      <c r="A9" s="151" t="s">
        <v>205</v>
      </c>
    </row>
    <row r="10" spans="1:11" ht="50.4" customHeight="1" x14ac:dyDescent="0.3">
      <c r="A10" s="151" t="s">
        <v>206</v>
      </c>
    </row>
    <row r="11" spans="1:11" ht="16.2" thickBot="1" x14ac:dyDescent="0.35">
      <c r="A11" s="146" t="s">
        <v>207</v>
      </c>
    </row>
    <row r="12" spans="1:11" ht="16.2" thickBot="1" x14ac:dyDescent="0.35">
      <c r="A12" s="3"/>
    </row>
    <row r="13" spans="1:11" ht="16.2" thickBot="1" x14ac:dyDescent="0.35">
      <c r="A13" s="153"/>
      <c r="B13" s="154" t="s">
        <v>27</v>
      </c>
      <c r="C13" s="154" t="s">
        <v>28</v>
      </c>
      <c r="D13" s="154" t="s">
        <v>29</v>
      </c>
      <c r="E13" s="154" t="s">
        <v>30</v>
      </c>
      <c r="F13" s="154" t="s">
        <v>31</v>
      </c>
      <c r="G13" s="154" t="s">
        <v>32</v>
      </c>
      <c r="H13" s="154" t="s">
        <v>33</v>
      </c>
      <c r="I13" s="154" t="s">
        <v>34</v>
      </c>
      <c r="J13" s="154" t="s">
        <v>35</v>
      </c>
      <c r="K13" s="154" t="s">
        <v>36</v>
      </c>
    </row>
    <row r="14" spans="1:11" ht="16.2" thickBot="1" x14ac:dyDescent="0.35">
      <c r="A14" s="155" t="s">
        <v>208</v>
      </c>
      <c r="B14" s="147" t="s">
        <v>330</v>
      </c>
      <c r="C14" s="147" t="s">
        <v>331</v>
      </c>
      <c r="D14" s="147" t="s">
        <v>332</v>
      </c>
      <c r="E14" s="147" t="s">
        <v>339</v>
      </c>
      <c r="F14" s="147" t="s">
        <v>333</v>
      </c>
      <c r="G14" s="147" t="s">
        <v>334</v>
      </c>
      <c r="H14" s="147" t="s">
        <v>340</v>
      </c>
      <c r="I14" s="147" t="s">
        <v>335</v>
      </c>
      <c r="J14" s="147" t="s">
        <v>336</v>
      </c>
      <c r="K14" s="147" t="s">
        <v>337</v>
      </c>
    </row>
  </sheetDat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M141"/>
  <sheetViews>
    <sheetView topLeftCell="B97" zoomScale="89" zoomScaleNormal="89" zoomScalePageLayoutView="125" workbookViewId="0">
      <selection activeCell="M104" sqref="M104"/>
    </sheetView>
  </sheetViews>
  <sheetFormatPr defaultColWidth="11" defaultRowHeight="15.6" x14ac:dyDescent="0.3"/>
  <cols>
    <col min="2" max="2" width="3.09765625" customWidth="1"/>
    <col min="3" max="3" width="68.69921875" customWidth="1"/>
    <col min="4" max="4" width="20.09765625" customWidth="1"/>
    <col min="5" max="5" width="21.59765625" customWidth="1"/>
    <col min="6" max="6" width="21.19921875" customWidth="1"/>
    <col min="7" max="7" width="20.09765625" customWidth="1"/>
    <col min="8" max="8" width="19.69921875" customWidth="1"/>
    <col min="9" max="9" width="17.69921875" customWidth="1"/>
    <col min="10" max="10" width="21.09765625" customWidth="1"/>
    <col min="11" max="11" width="22.59765625" customWidth="1"/>
  </cols>
  <sheetData>
    <row r="3" spans="3:9" ht="16.2" thickBot="1" x14ac:dyDescent="0.35">
      <c r="C3" s="1"/>
      <c r="I3" s="6"/>
    </row>
    <row r="4" spans="3:9" ht="95.25" customHeight="1" thickBot="1" x14ac:dyDescent="0.35">
      <c r="C4" s="200" t="s">
        <v>209</v>
      </c>
      <c r="D4" s="201"/>
      <c r="E4" s="201"/>
      <c r="F4" s="201"/>
      <c r="G4" s="201"/>
      <c r="H4" s="202"/>
    </row>
    <row r="5" spans="3:9" ht="20.7" customHeight="1" thickBot="1" x14ac:dyDescent="0.35">
      <c r="C5" s="203" t="s">
        <v>37</v>
      </c>
      <c r="D5" s="204"/>
      <c r="E5" s="204"/>
      <c r="F5" s="204"/>
      <c r="G5" s="204"/>
      <c r="H5" s="205"/>
    </row>
    <row r="6" spans="3:9" ht="28.5" customHeight="1" x14ac:dyDescent="0.3">
      <c r="C6" s="206" t="s">
        <v>210</v>
      </c>
      <c r="D6" s="207"/>
      <c r="E6" s="207"/>
      <c r="F6" s="207"/>
      <c r="G6" s="207"/>
      <c r="H6" s="208"/>
    </row>
    <row r="7" spans="3:9" ht="387" customHeight="1" x14ac:dyDescent="0.3">
      <c r="C7" s="209"/>
      <c r="D7" s="210"/>
      <c r="E7" s="210"/>
      <c r="F7" s="210"/>
      <c r="G7" s="210"/>
      <c r="H7" s="211"/>
    </row>
    <row r="8" spans="3:9" ht="20.7" customHeight="1" x14ac:dyDescent="0.3">
      <c r="C8" s="19"/>
      <c r="D8" s="20"/>
      <c r="E8" s="20"/>
      <c r="F8" s="20"/>
      <c r="G8" s="20"/>
      <c r="H8" s="21"/>
    </row>
    <row r="9" spans="3:9" ht="31.95" customHeight="1" x14ac:dyDescent="0.3">
      <c r="C9" s="100" t="s">
        <v>27</v>
      </c>
      <c r="D9" s="29" t="str">
        <f>'3-Hazard Assessment'!B14</f>
        <v>Dengue</v>
      </c>
      <c r="E9" s="20"/>
      <c r="F9" s="20"/>
      <c r="G9" s="20"/>
      <c r="H9" s="21"/>
    </row>
    <row r="10" spans="3:9" ht="31.95" customHeight="1" x14ac:dyDescent="0.3">
      <c r="C10" s="101" t="s">
        <v>38</v>
      </c>
      <c r="D10" s="12" t="s">
        <v>39</v>
      </c>
      <c r="E10" s="9" t="s">
        <v>40</v>
      </c>
      <c r="F10" s="20"/>
      <c r="G10" s="20"/>
      <c r="H10" s="21"/>
    </row>
    <row r="11" spans="3:9" ht="34.950000000000003" customHeight="1" x14ac:dyDescent="0.3">
      <c r="C11" s="169" t="s">
        <v>211</v>
      </c>
      <c r="D11" s="12" t="s">
        <v>338</v>
      </c>
      <c r="E11" s="12">
        <f>IF(D11="YES",1,0)</f>
        <v>1</v>
      </c>
      <c r="F11" s="20"/>
      <c r="G11" s="20"/>
      <c r="H11" s="21"/>
    </row>
    <row r="12" spans="3:9" ht="75" customHeight="1" x14ac:dyDescent="0.3">
      <c r="C12" s="19" t="s">
        <v>42</v>
      </c>
      <c r="D12" s="12" t="s">
        <v>338</v>
      </c>
      <c r="E12" s="12">
        <f t="shared" ref="E12:E15" si="0">IF(D12="YES",1,0)</f>
        <v>1</v>
      </c>
      <c r="F12" s="20"/>
      <c r="G12" s="20"/>
      <c r="H12" s="21"/>
    </row>
    <row r="13" spans="3:9" ht="20.7" customHeight="1" x14ac:dyDescent="0.3">
      <c r="C13" s="19" t="s">
        <v>43</v>
      </c>
      <c r="D13" s="12" t="s">
        <v>338</v>
      </c>
      <c r="E13" s="12">
        <f t="shared" si="0"/>
        <v>1</v>
      </c>
      <c r="F13" s="20"/>
      <c r="G13" s="20"/>
      <c r="H13" s="21"/>
    </row>
    <row r="14" spans="3:9" ht="38.700000000000003" customHeight="1" x14ac:dyDescent="0.3">
      <c r="C14" s="19" t="s">
        <v>44</v>
      </c>
      <c r="D14" s="12" t="s">
        <v>338</v>
      </c>
      <c r="E14" s="12">
        <f t="shared" si="0"/>
        <v>1</v>
      </c>
      <c r="F14" s="20"/>
      <c r="G14" s="20"/>
      <c r="H14" s="21"/>
    </row>
    <row r="15" spans="3:9" ht="36" customHeight="1" x14ac:dyDescent="0.3">
      <c r="C15" s="19" t="s">
        <v>45</v>
      </c>
      <c r="D15" s="12" t="s">
        <v>338</v>
      </c>
      <c r="E15" s="12">
        <f t="shared" si="0"/>
        <v>1</v>
      </c>
      <c r="F15" s="20"/>
      <c r="G15" s="20"/>
      <c r="H15" s="21"/>
    </row>
    <row r="16" spans="3:9" ht="33" customHeight="1" x14ac:dyDescent="0.3">
      <c r="C16" s="212" t="s">
        <v>46</v>
      </c>
      <c r="D16" s="213"/>
      <c r="E16" s="18">
        <f>SUM(E11:E15)</f>
        <v>5</v>
      </c>
      <c r="F16" s="20"/>
      <c r="G16" s="20"/>
      <c r="H16" s="21"/>
    </row>
    <row r="17" spans="3:8" ht="33" customHeight="1" x14ac:dyDescent="0.3">
      <c r="C17" s="19"/>
      <c r="D17" s="20"/>
      <c r="E17" s="20"/>
      <c r="F17" s="20"/>
      <c r="G17" s="20"/>
      <c r="H17" s="21"/>
    </row>
    <row r="18" spans="3:8" ht="33" customHeight="1" x14ac:dyDescent="0.3">
      <c r="C18" s="100" t="s">
        <v>28</v>
      </c>
      <c r="D18" s="29" t="str">
        <f>'3-Hazard Assessment'!C14</f>
        <v>Cholera</v>
      </c>
      <c r="E18" s="20"/>
      <c r="F18" s="20"/>
      <c r="G18" s="20"/>
      <c r="H18" s="21"/>
    </row>
    <row r="19" spans="3:8" ht="33" customHeight="1" thickBot="1" x14ac:dyDescent="0.35">
      <c r="C19" s="101" t="s">
        <v>38</v>
      </c>
      <c r="D19" s="12" t="s">
        <v>47</v>
      </c>
      <c r="E19" s="9" t="s">
        <v>40</v>
      </c>
      <c r="F19" s="20"/>
      <c r="G19" s="20"/>
      <c r="H19" s="21"/>
    </row>
    <row r="20" spans="3:8" ht="69" customHeight="1" x14ac:dyDescent="0.3">
      <c r="C20" s="156" t="s">
        <v>213</v>
      </c>
      <c r="D20" s="12" t="s">
        <v>49</v>
      </c>
      <c r="E20" s="12">
        <f>IF(D20="YES",1,0)</f>
        <v>1</v>
      </c>
      <c r="F20" s="20"/>
      <c r="G20" s="20"/>
      <c r="H20" s="21"/>
    </row>
    <row r="21" spans="3:8" ht="102" customHeight="1" x14ac:dyDescent="0.3">
      <c r="C21" s="157" t="s">
        <v>212</v>
      </c>
      <c r="D21" s="12" t="s">
        <v>49</v>
      </c>
      <c r="E21" s="12">
        <f t="shared" ref="E21:E24" si="1">IF(D21="YES",1,0)</f>
        <v>1</v>
      </c>
      <c r="F21" s="20"/>
      <c r="G21" s="20"/>
      <c r="H21" s="21"/>
    </row>
    <row r="22" spans="3:8" ht="48.6" customHeight="1" x14ac:dyDescent="0.3">
      <c r="C22" s="157" t="s">
        <v>214</v>
      </c>
      <c r="D22" s="12" t="s">
        <v>49</v>
      </c>
      <c r="E22" s="12">
        <f t="shared" si="1"/>
        <v>1</v>
      </c>
      <c r="F22" s="20"/>
      <c r="G22" s="20"/>
      <c r="H22" s="21"/>
    </row>
    <row r="23" spans="3:8" ht="52.95" customHeight="1" x14ac:dyDescent="0.3">
      <c r="C23" s="157" t="s">
        <v>215</v>
      </c>
      <c r="D23" s="12" t="s">
        <v>49</v>
      </c>
      <c r="E23" s="12">
        <f t="shared" si="1"/>
        <v>1</v>
      </c>
      <c r="F23" s="20"/>
      <c r="G23" s="20"/>
      <c r="H23" s="21"/>
    </row>
    <row r="24" spans="3:8" ht="63" customHeight="1" thickBot="1" x14ac:dyDescent="0.35">
      <c r="C24" s="158" t="s">
        <v>216</v>
      </c>
      <c r="D24" s="12" t="s">
        <v>49</v>
      </c>
      <c r="E24" s="12">
        <f t="shared" si="1"/>
        <v>1</v>
      </c>
      <c r="F24" s="20"/>
      <c r="G24" s="20"/>
      <c r="H24" s="21"/>
    </row>
    <row r="25" spans="3:8" ht="33" customHeight="1" x14ac:dyDescent="0.3">
      <c r="C25" s="212" t="s">
        <v>46</v>
      </c>
      <c r="D25" s="213"/>
      <c r="E25" s="18">
        <f>SUM(E20:E24)</f>
        <v>5</v>
      </c>
      <c r="F25" s="20"/>
      <c r="G25" s="20"/>
      <c r="H25" s="21"/>
    </row>
    <row r="26" spans="3:8" ht="33" customHeight="1" x14ac:dyDescent="0.3">
      <c r="C26" s="19"/>
      <c r="D26" s="20"/>
      <c r="E26" s="20"/>
      <c r="F26" s="20"/>
      <c r="G26" s="20"/>
      <c r="H26" s="21"/>
    </row>
    <row r="27" spans="3:8" ht="33" customHeight="1" x14ac:dyDescent="0.3">
      <c r="C27" s="100" t="s">
        <v>29</v>
      </c>
      <c r="D27" s="29" t="str">
        <f>'3-Hazard Assessment'!D14</f>
        <v>Malaria</v>
      </c>
      <c r="E27" s="20"/>
      <c r="F27" s="20"/>
      <c r="G27" s="20"/>
      <c r="H27" s="21"/>
    </row>
    <row r="28" spans="3:8" ht="33" customHeight="1" thickBot="1" x14ac:dyDescent="0.35">
      <c r="C28" s="101" t="s">
        <v>38</v>
      </c>
      <c r="D28" s="12" t="s">
        <v>47</v>
      </c>
      <c r="E28" s="9" t="s">
        <v>40</v>
      </c>
      <c r="F28" s="20"/>
      <c r="G28" s="20"/>
      <c r="H28" s="21"/>
    </row>
    <row r="29" spans="3:8" ht="33" customHeight="1" x14ac:dyDescent="0.3">
      <c r="C29" s="156" t="s">
        <v>48</v>
      </c>
      <c r="D29" s="12" t="s">
        <v>49</v>
      </c>
      <c r="E29" s="12">
        <f>IF(D29="YES",1,0)</f>
        <v>1</v>
      </c>
      <c r="F29" s="20"/>
      <c r="G29" s="20"/>
      <c r="H29" s="21"/>
    </row>
    <row r="30" spans="3:8" ht="33" customHeight="1" x14ac:dyDescent="0.3">
      <c r="C30" s="157" t="s">
        <v>50</v>
      </c>
      <c r="D30" s="12" t="s">
        <v>49</v>
      </c>
      <c r="E30" s="12">
        <f t="shared" ref="E30:E33" si="2">IF(D30="YES",1,0)</f>
        <v>1</v>
      </c>
      <c r="F30" s="20"/>
      <c r="G30" s="20"/>
      <c r="H30" s="21"/>
    </row>
    <row r="31" spans="3:8" ht="33" customHeight="1" x14ac:dyDescent="0.3">
      <c r="C31" s="157" t="s">
        <v>51</v>
      </c>
      <c r="D31" s="12" t="s">
        <v>338</v>
      </c>
      <c r="E31" s="12">
        <f t="shared" si="2"/>
        <v>1</v>
      </c>
      <c r="F31" s="20"/>
      <c r="G31" s="20"/>
      <c r="H31" s="21"/>
    </row>
    <row r="32" spans="3:8" ht="33" customHeight="1" x14ac:dyDescent="0.3">
      <c r="C32" s="157" t="s">
        <v>52</v>
      </c>
      <c r="D32" s="12" t="s">
        <v>338</v>
      </c>
      <c r="E32" s="12">
        <f t="shared" si="2"/>
        <v>1</v>
      </c>
      <c r="F32" s="20"/>
      <c r="G32" s="20"/>
      <c r="H32" s="21"/>
    </row>
    <row r="33" spans="3:8" ht="33" customHeight="1" thickBot="1" x14ac:dyDescent="0.35">
      <c r="C33" s="158" t="s">
        <v>53</v>
      </c>
      <c r="D33" s="12" t="s">
        <v>338</v>
      </c>
      <c r="E33" s="12">
        <f t="shared" si="2"/>
        <v>1</v>
      </c>
      <c r="F33" s="20"/>
      <c r="G33" s="20"/>
      <c r="H33" s="21"/>
    </row>
    <row r="34" spans="3:8" ht="33" customHeight="1" x14ac:dyDescent="0.3">
      <c r="C34" s="212" t="s">
        <v>46</v>
      </c>
      <c r="D34" s="213"/>
      <c r="E34" s="18">
        <f>SUM(E29:E33)</f>
        <v>5</v>
      </c>
      <c r="F34" s="20"/>
      <c r="G34" s="20"/>
      <c r="H34" s="21"/>
    </row>
    <row r="35" spans="3:8" ht="33" customHeight="1" x14ac:dyDescent="0.3">
      <c r="C35" s="19"/>
      <c r="D35" s="20"/>
      <c r="E35" s="20"/>
      <c r="F35" s="20"/>
      <c r="G35" s="20"/>
      <c r="H35" s="21"/>
    </row>
    <row r="36" spans="3:8" ht="33" customHeight="1" x14ac:dyDescent="0.3">
      <c r="C36" s="19"/>
      <c r="D36" s="20"/>
      <c r="E36" s="20"/>
      <c r="F36" s="20"/>
      <c r="G36" s="20"/>
      <c r="H36" s="21"/>
    </row>
    <row r="37" spans="3:8" ht="33" customHeight="1" x14ac:dyDescent="0.3">
      <c r="C37" s="100" t="s">
        <v>30</v>
      </c>
      <c r="D37" s="29" t="s">
        <v>339</v>
      </c>
      <c r="E37" s="20"/>
      <c r="F37" s="20"/>
      <c r="G37" s="20"/>
      <c r="H37" s="21"/>
    </row>
    <row r="38" spans="3:8" ht="33" customHeight="1" thickBot="1" x14ac:dyDescent="0.35">
      <c r="C38" s="101" t="s">
        <v>38</v>
      </c>
      <c r="D38" s="12" t="s">
        <v>47</v>
      </c>
      <c r="E38" s="9" t="s">
        <v>40</v>
      </c>
      <c r="F38" s="20"/>
      <c r="G38" s="20"/>
      <c r="H38" s="21"/>
    </row>
    <row r="39" spans="3:8" ht="33" customHeight="1" x14ac:dyDescent="0.3">
      <c r="C39" s="156" t="s">
        <v>48</v>
      </c>
      <c r="D39" s="12" t="s">
        <v>49</v>
      </c>
      <c r="E39" s="12">
        <f>IF(D39="YES",1,0)</f>
        <v>1</v>
      </c>
      <c r="F39" s="20"/>
      <c r="G39" s="20"/>
      <c r="H39" s="21"/>
    </row>
    <row r="40" spans="3:8" ht="33" customHeight="1" x14ac:dyDescent="0.3">
      <c r="C40" s="157" t="s">
        <v>50</v>
      </c>
      <c r="D40" s="12" t="s">
        <v>49</v>
      </c>
      <c r="E40" s="12">
        <f t="shared" ref="E40:E43" si="3">IF(D40="YES",1,0)</f>
        <v>1</v>
      </c>
      <c r="F40" s="20"/>
      <c r="G40" s="20"/>
      <c r="H40" s="21"/>
    </row>
    <row r="41" spans="3:8" ht="33" customHeight="1" x14ac:dyDescent="0.3">
      <c r="C41" s="157" t="s">
        <v>51</v>
      </c>
      <c r="D41" s="12" t="s">
        <v>49</v>
      </c>
      <c r="E41" s="12">
        <f t="shared" si="3"/>
        <v>1</v>
      </c>
      <c r="F41" s="20"/>
      <c r="G41" s="20"/>
      <c r="H41" s="21"/>
    </row>
    <row r="42" spans="3:8" ht="33" customHeight="1" x14ac:dyDescent="0.3">
      <c r="C42" s="157" t="s">
        <v>52</v>
      </c>
      <c r="D42" s="12" t="s">
        <v>49</v>
      </c>
      <c r="E42" s="12">
        <f t="shared" si="3"/>
        <v>1</v>
      </c>
      <c r="F42" s="20"/>
      <c r="G42" s="20"/>
      <c r="H42" s="21"/>
    </row>
    <row r="43" spans="3:8" ht="33" customHeight="1" thickBot="1" x14ac:dyDescent="0.35">
      <c r="C43" s="158" t="s">
        <v>53</v>
      </c>
      <c r="D43" s="12" t="s">
        <v>49</v>
      </c>
      <c r="E43" s="12">
        <f t="shared" si="3"/>
        <v>1</v>
      </c>
      <c r="F43" s="20"/>
      <c r="G43" s="20"/>
      <c r="H43" s="21"/>
    </row>
    <row r="44" spans="3:8" ht="33" customHeight="1" x14ac:dyDescent="0.3">
      <c r="C44" s="212" t="s">
        <v>46</v>
      </c>
      <c r="D44" s="213"/>
      <c r="E44" s="18">
        <f>SUM(E39:E43)</f>
        <v>5</v>
      </c>
      <c r="F44" s="20"/>
      <c r="G44" s="20"/>
      <c r="H44" s="21"/>
    </row>
    <row r="45" spans="3:8" ht="33" customHeight="1" x14ac:dyDescent="0.3">
      <c r="C45" s="117"/>
      <c r="D45" s="117"/>
      <c r="E45" s="28"/>
      <c r="F45" s="20"/>
      <c r="G45" s="20"/>
      <c r="H45" s="21"/>
    </row>
    <row r="46" spans="3:8" ht="33" customHeight="1" x14ac:dyDescent="0.3">
      <c r="C46" s="100" t="s">
        <v>31</v>
      </c>
      <c r="D46" s="29" t="str">
        <f>'3-Hazard Assessment'!F14</f>
        <v>Covid-19</v>
      </c>
      <c r="E46" s="20"/>
      <c r="F46" s="20"/>
      <c r="G46" s="20"/>
      <c r="H46" s="21"/>
    </row>
    <row r="47" spans="3:8" ht="33" customHeight="1" thickBot="1" x14ac:dyDescent="0.35">
      <c r="C47" s="101" t="s">
        <v>38</v>
      </c>
      <c r="D47" s="12" t="s">
        <v>47</v>
      </c>
      <c r="E47" s="9" t="s">
        <v>40</v>
      </c>
      <c r="F47" s="20"/>
      <c r="G47" s="20"/>
      <c r="H47" s="21"/>
    </row>
    <row r="48" spans="3:8" ht="33" customHeight="1" x14ac:dyDescent="0.3">
      <c r="C48" s="156" t="s">
        <v>48</v>
      </c>
      <c r="D48" s="12" t="s">
        <v>49</v>
      </c>
      <c r="E48" s="12">
        <f>IF(D48="YES",1,0)</f>
        <v>1</v>
      </c>
      <c r="F48" s="20"/>
      <c r="G48" s="20"/>
      <c r="H48" s="21"/>
    </row>
    <row r="49" spans="3:8" ht="33" customHeight="1" x14ac:dyDescent="0.3">
      <c r="C49" s="157" t="s">
        <v>50</v>
      </c>
      <c r="D49" s="12" t="s">
        <v>41</v>
      </c>
      <c r="E49" s="12">
        <f t="shared" ref="E49:E52" si="4">IF(D49="YES",1,0)</f>
        <v>0</v>
      </c>
      <c r="F49" s="20"/>
      <c r="G49" s="20"/>
      <c r="H49" s="21"/>
    </row>
    <row r="50" spans="3:8" ht="33" customHeight="1" x14ac:dyDescent="0.3">
      <c r="C50" s="157" t="s">
        <v>51</v>
      </c>
      <c r="D50" s="12" t="s">
        <v>49</v>
      </c>
      <c r="E50" s="12">
        <f t="shared" si="4"/>
        <v>1</v>
      </c>
      <c r="F50" s="20"/>
      <c r="G50" s="20"/>
      <c r="H50" s="21"/>
    </row>
    <row r="51" spans="3:8" ht="33" customHeight="1" x14ac:dyDescent="0.3">
      <c r="C51" s="157" t="s">
        <v>52</v>
      </c>
      <c r="D51" s="12" t="s">
        <v>49</v>
      </c>
      <c r="E51" s="12">
        <f t="shared" si="4"/>
        <v>1</v>
      </c>
      <c r="F51" s="20"/>
      <c r="G51" s="20"/>
      <c r="H51" s="21"/>
    </row>
    <row r="52" spans="3:8" ht="33" customHeight="1" thickBot="1" x14ac:dyDescent="0.35">
      <c r="C52" s="158" t="s">
        <v>53</v>
      </c>
      <c r="D52" s="12" t="s">
        <v>49</v>
      </c>
      <c r="E52" s="12">
        <f t="shared" si="4"/>
        <v>1</v>
      </c>
      <c r="F52" s="20"/>
      <c r="G52" s="20"/>
      <c r="H52" s="21"/>
    </row>
    <row r="53" spans="3:8" ht="33" customHeight="1" x14ac:dyDescent="0.3">
      <c r="C53" s="212" t="s">
        <v>46</v>
      </c>
      <c r="D53" s="213"/>
      <c r="E53" s="18">
        <f>SUM(E48:E52)</f>
        <v>4</v>
      </c>
      <c r="F53" s="20"/>
      <c r="G53" s="20"/>
      <c r="H53" s="21"/>
    </row>
    <row r="54" spans="3:8" ht="33" customHeight="1" x14ac:dyDescent="0.3">
      <c r="C54" s="117"/>
      <c r="D54" s="117"/>
      <c r="E54" s="28"/>
      <c r="F54" s="20"/>
      <c r="G54" s="20"/>
      <c r="H54" s="21"/>
    </row>
    <row r="55" spans="3:8" ht="33" customHeight="1" x14ac:dyDescent="0.3">
      <c r="C55" s="100" t="s">
        <v>32</v>
      </c>
      <c r="D55" s="29" t="str">
        <f>'3-Hazard Assessment'!G14</f>
        <v>Influenza</v>
      </c>
      <c r="E55" s="20"/>
      <c r="F55" s="20"/>
      <c r="G55" s="20"/>
      <c r="H55" s="21"/>
    </row>
    <row r="56" spans="3:8" ht="33" customHeight="1" thickBot="1" x14ac:dyDescent="0.35">
      <c r="C56" s="101" t="s">
        <v>38</v>
      </c>
      <c r="D56" s="12" t="s">
        <v>47</v>
      </c>
      <c r="E56" s="9" t="s">
        <v>40</v>
      </c>
      <c r="F56" s="20"/>
      <c r="G56" s="20"/>
      <c r="H56" s="21"/>
    </row>
    <row r="57" spans="3:8" ht="33" customHeight="1" x14ac:dyDescent="0.3">
      <c r="C57" s="156" t="s">
        <v>48</v>
      </c>
      <c r="D57" s="12" t="s">
        <v>49</v>
      </c>
      <c r="E57" s="12">
        <f>IF(D57="YES",1,0)</f>
        <v>1</v>
      </c>
      <c r="F57" s="20"/>
      <c r="G57" s="20"/>
      <c r="H57" s="21"/>
    </row>
    <row r="58" spans="3:8" ht="33" customHeight="1" x14ac:dyDescent="0.3">
      <c r="C58" s="157" t="s">
        <v>50</v>
      </c>
      <c r="D58" s="12" t="s">
        <v>49</v>
      </c>
      <c r="E58" s="12">
        <f t="shared" ref="E58:E61" si="5">IF(D58="YES",1,0)</f>
        <v>1</v>
      </c>
      <c r="F58" s="20"/>
      <c r="G58" s="20"/>
      <c r="H58" s="21"/>
    </row>
    <row r="59" spans="3:8" ht="33" customHeight="1" x14ac:dyDescent="0.3">
      <c r="C59" s="157" t="s">
        <v>51</v>
      </c>
      <c r="D59" s="12" t="s">
        <v>49</v>
      </c>
      <c r="E59" s="12">
        <f t="shared" si="5"/>
        <v>1</v>
      </c>
      <c r="F59" s="20"/>
      <c r="G59" s="20"/>
      <c r="H59" s="21"/>
    </row>
    <row r="60" spans="3:8" ht="33" customHeight="1" x14ac:dyDescent="0.3">
      <c r="C60" s="157" t="s">
        <v>52</v>
      </c>
      <c r="D60" s="12" t="s">
        <v>49</v>
      </c>
      <c r="E60" s="12">
        <f t="shared" si="5"/>
        <v>1</v>
      </c>
      <c r="F60" s="20"/>
      <c r="G60" s="20"/>
      <c r="H60" s="21"/>
    </row>
    <row r="61" spans="3:8" ht="33" customHeight="1" thickBot="1" x14ac:dyDescent="0.35">
      <c r="C61" s="158" t="s">
        <v>53</v>
      </c>
      <c r="D61" s="12" t="s">
        <v>49</v>
      </c>
      <c r="E61" s="12">
        <f t="shared" si="5"/>
        <v>1</v>
      </c>
      <c r="F61" s="20"/>
      <c r="G61" s="20"/>
      <c r="H61" s="21"/>
    </row>
    <row r="62" spans="3:8" ht="33" customHeight="1" x14ac:dyDescent="0.3">
      <c r="C62" s="212" t="s">
        <v>46</v>
      </c>
      <c r="D62" s="213"/>
      <c r="E62" s="18">
        <f>SUM(E57:E61)</f>
        <v>5</v>
      </c>
      <c r="F62" s="20"/>
      <c r="G62" s="20"/>
      <c r="H62" s="21"/>
    </row>
    <row r="63" spans="3:8" ht="33" customHeight="1" x14ac:dyDescent="0.3">
      <c r="C63" s="117"/>
      <c r="D63" s="117"/>
      <c r="E63" s="28"/>
      <c r="F63" s="20"/>
      <c r="G63" s="20"/>
      <c r="H63" s="21"/>
    </row>
    <row r="64" spans="3:8" ht="33" customHeight="1" x14ac:dyDescent="0.3">
      <c r="C64" s="100" t="s">
        <v>33</v>
      </c>
      <c r="D64" s="180" t="str">
        <f>'3-Hazard Assessment'!H14</f>
        <v>Mass Casualities</v>
      </c>
      <c r="E64" s="20"/>
      <c r="F64" s="20"/>
      <c r="G64" s="20"/>
      <c r="H64" s="21"/>
    </row>
    <row r="65" spans="3:8" ht="33" customHeight="1" thickBot="1" x14ac:dyDescent="0.35">
      <c r="C65" s="101" t="s">
        <v>38</v>
      </c>
      <c r="D65" s="12" t="s">
        <v>47</v>
      </c>
      <c r="E65" s="9" t="s">
        <v>40</v>
      </c>
      <c r="F65" s="20"/>
      <c r="G65" s="20"/>
      <c r="H65" s="21"/>
    </row>
    <row r="66" spans="3:8" ht="33" customHeight="1" x14ac:dyDescent="0.3">
      <c r="C66" s="156" t="s">
        <v>48</v>
      </c>
      <c r="D66" s="12" t="s">
        <v>41</v>
      </c>
      <c r="E66" s="12">
        <f>IF(D66="YES",1,0)</f>
        <v>0</v>
      </c>
      <c r="F66" s="20"/>
      <c r="G66" s="20"/>
      <c r="H66" s="21"/>
    </row>
    <row r="67" spans="3:8" ht="33" customHeight="1" x14ac:dyDescent="0.3">
      <c r="C67" s="157" t="s">
        <v>50</v>
      </c>
      <c r="D67" s="12" t="s">
        <v>41</v>
      </c>
      <c r="E67" s="12">
        <f t="shared" ref="E67:E70" si="6">IF(D67="YES",1,0)</f>
        <v>0</v>
      </c>
      <c r="F67" s="20"/>
      <c r="G67" s="20"/>
      <c r="H67" s="21"/>
    </row>
    <row r="68" spans="3:8" ht="33" customHeight="1" x14ac:dyDescent="0.3">
      <c r="C68" s="157" t="s">
        <v>51</v>
      </c>
      <c r="D68" s="12" t="s">
        <v>49</v>
      </c>
      <c r="E68" s="12">
        <f t="shared" si="6"/>
        <v>1</v>
      </c>
      <c r="F68" s="20"/>
      <c r="G68" s="20"/>
      <c r="H68" s="21"/>
    </row>
    <row r="69" spans="3:8" ht="33" customHeight="1" x14ac:dyDescent="0.3">
      <c r="C69" s="157" t="s">
        <v>52</v>
      </c>
      <c r="D69" s="12" t="s">
        <v>41</v>
      </c>
      <c r="E69" s="12">
        <f t="shared" si="6"/>
        <v>0</v>
      </c>
      <c r="F69" s="20"/>
      <c r="G69" s="20"/>
      <c r="H69" s="21"/>
    </row>
    <row r="70" spans="3:8" ht="33" customHeight="1" thickBot="1" x14ac:dyDescent="0.35">
      <c r="C70" s="158" t="s">
        <v>53</v>
      </c>
      <c r="D70" s="12" t="s">
        <v>49</v>
      </c>
      <c r="E70" s="12">
        <f t="shared" si="6"/>
        <v>1</v>
      </c>
      <c r="F70" s="20"/>
      <c r="G70" s="20"/>
      <c r="H70" s="21"/>
    </row>
    <row r="71" spans="3:8" ht="33" customHeight="1" x14ac:dyDescent="0.3">
      <c r="C71" s="212" t="s">
        <v>46</v>
      </c>
      <c r="D71" s="213"/>
      <c r="E71" s="18">
        <f>SUM(E66:E70)</f>
        <v>2</v>
      </c>
      <c r="F71" s="20"/>
      <c r="G71" s="20"/>
      <c r="H71" s="21"/>
    </row>
    <row r="72" spans="3:8" ht="33" customHeight="1" x14ac:dyDescent="0.3">
      <c r="C72" s="117"/>
      <c r="D72" s="117"/>
      <c r="E72" s="28"/>
      <c r="F72" s="20"/>
      <c r="G72" s="20"/>
      <c r="H72" s="21"/>
    </row>
    <row r="73" spans="3:8" ht="33" customHeight="1" x14ac:dyDescent="0.3">
      <c r="C73" s="100" t="s">
        <v>34</v>
      </c>
      <c r="D73" s="29" t="str">
        <f>'3-Hazard Assessment'!I14</f>
        <v>Chemical</v>
      </c>
      <c r="E73" s="20"/>
      <c r="F73" s="20"/>
      <c r="G73" s="20"/>
      <c r="H73" s="21"/>
    </row>
    <row r="74" spans="3:8" ht="33" customHeight="1" thickBot="1" x14ac:dyDescent="0.35">
      <c r="C74" s="101" t="s">
        <v>38</v>
      </c>
      <c r="D74" s="12" t="s">
        <v>47</v>
      </c>
      <c r="E74" s="9" t="s">
        <v>40</v>
      </c>
      <c r="F74" s="20"/>
      <c r="G74" s="20"/>
      <c r="H74" s="21"/>
    </row>
    <row r="75" spans="3:8" ht="33" customHeight="1" x14ac:dyDescent="0.3">
      <c r="C75" s="156" t="s">
        <v>48</v>
      </c>
      <c r="D75" s="12" t="s">
        <v>49</v>
      </c>
      <c r="E75" s="12">
        <f>IF(D75="YES",1,0)</f>
        <v>1</v>
      </c>
      <c r="F75" s="20"/>
      <c r="G75" s="20"/>
      <c r="H75" s="21"/>
    </row>
    <row r="76" spans="3:8" ht="33" customHeight="1" x14ac:dyDescent="0.3">
      <c r="C76" s="157" t="s">
        <v>50</v>
      </c>
      <c r="D76" s="12" t="s">
        <v>82</v>
      </c>
      <c r="E76" s="12">
        <f t="shared" ref="E76:E79" si="7">IF(D76="YES",1,0)</f>
        <v>0</v>
      </c>
      <c r="F76" s="20"/>
      <c r="G76" s="20"/>
      <c r="H76" s="21"/>
    </row>
    <row r="77" spans="3:8" ht="33" customHeight="1" x14ac:dyDescent="0.3">
      <c r="C77" s="157" t="s">
        <v>51</v>
      </c>
      <c r="D77" s="12" t="s">
        <v>49</v>
      </c>
      <c r="E77" s="12">
        <f t="shared" si="7"/>
        <v>1</v>
      </c>
      <c r="F77" s="20"/>
      <c r="G77" s="20"/>
      <c r="H77" s="21"/>
    </row>
    <row r="78" spans="3:8" ht="33" customHeight="1" x14ac:dyDescent="0.3">
      <c r="C78" s="157" t="s">
        <v>52</v>
      </c>
      <c r="D78" s="12" t="s">
        <v>49</v>
      </c>
      <c r="E78" s="12">
        <f t="shared" si="7"/>
        <v>1</v>
      </c>
      <c r="F78" s="20"/>
      <c r="G78" s="20"/>
      <c r="H78" s="21"/>
    </row>
    <row r="79" spans="3:8" ht="33" customHeight="1" thickBot="1" x14ac:dyDescent="0.35">
      <c r="C79" s="158" t="s">
        <v>53</v>
      </c>
      <c r="D79" s="12" t="s">
        <v>49</v>
      </c>
      <c r="E79" s="12">
        <f t="shared" si="7"/>
        <v>1</v>
      </c>
      <c r="F79" s="20"/>
      <c r="G79" s="20"/>
      <c r="H79" s="21"/>
    </row>
    <row r="80" spans="3:8" ht="33" customHeight="1" x14ac:dyDescent="0.3">
      <c r="C80" s="212" t="s">
        <v>46</v>
      </c>
      <c r="D80" s="213"/>
      <c r="E80" s="18">
        <f>SUM(E75:E79)</f>
        <v>4</v>
      </c>
      <c r="F80" s="20"/>
      <c r="G80" s="20"/>
      <c r="H80" s="21"/>
    </row>
    <row r="81" spans="3:8" ht="33" customHeight="1" x14ac:dyDescent="0.3">
      <c r="C81" s="117"/>
      <c r="D81" s="117"/>
      <c r="E81" s="28"/>
      <c r="F81" s="20"/>
      <c r="G81" s="20"/>
      <c r="H81" s="21"/>
    </row>
    <row r="82" spans="3:8" ht="33" customHeight="1" x14ac:dyDescent="0.3">
      <c r="C82" s="100" t="s">
        <v>35</v>
      </c>
      <c r="D82" s="29" t="str">
        <f>'3-Hazard Assessment'!J14</f>
        <v>Radiological</v>
      </c>
      <c r="E82" s="20"/>
      <c r="F82" s="20"/>
      <c r="G82" s="20"/>
      <c r="H82" s="21"/>
    </row>
    <row r="83" spans="3:8" ht="33" customHeight="1" thickBot="1" x14ac:dyDescent="0.35">
      <c r="C83" s="101" t="s">
        <v>38</v>
      </c>
      <c r="D83" s="12" t="s">
        <v>47</v>
      </c>
      <c r="E83" s="9" t="s">
        <v>40</v>
      </c>
      <c r="F83" s="20"/>
      <c r="G83" s="20"/>
      <c r="H83" s="21"/>
    </row>
    <row r="84" spans="3:8" ht="33" customHeight="1" x14ac:dyDescent="0.3">
      <c r="C84" s="156" t="s">
        <v>48</v>
      </c>
      <c r="D84" s="12" t="s">
        <v>49</v>
      </c>
      <c r="E84" s="12">
        <f>IF(D84="YES",1,0)</f>
        <v>1</v>
      </c>
      <c r="F84" s="20"/>
      <c r="G84" s="20"/>
      <c r="H84" s="21"/>
    </row>
    <row r="85" spans="3:8" ht="33" customHeight="1" x14ac:dyDescent="0.3">
      <c r="C85" s="157" t="s">
        <v>50</v>
      </c>
      <c r="D85" s="12" t="s">
        <v>82</v>
      </c>
      <c r="E85" s="12">
        <f t="shared" ref="E85:E88" si="8">IF(D85="YES",1,0)</f>
        <v>0</v>
      </c>
      <c r="F85" s="20"/>
      <c r="G85" s="20"/>
      <c r="H85" s="21"/>
    </row>
    <row r="86" spans="3:8" ht="33" customHeight="1" x14ac:dyDescent="0.3">
      <c r="C86" s="157" t="s">
        <v>51</v>
      </c>
      <c r="D86" s="12" t="s">
        <v>49</v>
      </c>
      <c r="E86" s="12">
        <f t="shared" si="8"/>
        <v>1</v>
      </c>
      <c r="F86" s="20"/>
      <c r="G86" s="20"/>
      <c r="H86" s="21"/>
    </row>
    <row r="87" spans="3:8" ht="33" customHeight="1" x14ac:dyDescent="0.3">
      <c r="C87" s="157" t="s">
        <v>52</v>
      </c>
      <c r="D87" s="12" t="s">
        <v>49</v>
      </c>
      <c r="E87" s="12">
        <f t="shared" si="8"/>
        <v>1</v>
      </c>
      <c r="F87" s="20"/>
      <c r="G87" s="20"/>
      <c r="H87" s="21"/>
    </row>
    <row r="88" spans="3:8" ht="33" customHeight="1" thickBot="1" x14ac:dyDescent="0.35">
      <c r="C88" s="158" t="s">
        <v>53</v>
      </c>
      <c r="D88" s="12" t="s">
        <v>49</v>
      </c>
      <c r="E88" s="12">
        <f t="shared" si="8"/>
        <v>1</v>
      </c>
      <c r="F88" s="20"/>
      <c r="G88" s="20"/>
      <c r="H88" s="21"/>
    </row>
    <row r="89" spans="3:8" ht="33" customHeight="1" x14ac:dyDescent="0.3">
      <c r="C89" s="212" t="s">
        <v>46</v>
      </c>
      <c r="D89" s="213"/>
      <c r="E89" s="18">
        <f>SUM(E84:E88)</f>
        <v>4</v>
      </c>
      <c r="F89" s="20"/>
      <c r="G89" s="20"/>
      <c r="H89" s="21"/>
    </row>
    <row r="90" spans="3:8" ht="33" customHeight="1" x14ac:dyDescent="0.3">
      <c r="C90" s="117"/>
      <c r="D90" s="117"/>
      <c r="E90" s="28"/>
      <c r="F90" s="20"/>
      <c r="G90" s="20"/>
      <c r="H90" s="21"/>
    </row>
    <row r="91" spans="3:8" ht="33" customHeight="1" x14ac:dyDescent="0.3">
      <c r="C91" s="100" t="s">
        <v>36</v>
      </c>
      <c r="D91" s="29" t="str">
        <f>'3-Hazard Assessment'!K14</f>
        <v>Physical</v>
      </c>
      <c r="E91" s="20"/>
      <c r="F91" s="20"/>
      <c r="G91" s="20"/>
      <c r="H91" s="21"/>
    </row>
    <row r="92" spans="3:8" ht="33" customHeight="1" thickBot="1" x14ac:dyDescent="0.35">
      <c r="C92" s="101" t="s">
        <v>38</v>
      </c>
      <c r="D92" s="12" t="s">
        <v>47</v>
      </c>
      <c r="E92" s="9" t="s">
        <v>40</v>
      </c>
      <c r="F92" s="20"/>
      <c r="G92" s="20"/>
      <c r="H92" s="21"/>
    </row>
    <row r="93" spans="3:8" ht="33" customHeight="1" x14ac:dyDescent="0.3">
      <c r="C93" s="156" t="s">
        <v>48</v>
      </c>
      <c r="D93" s="12" t="s">
        <v>49</v>
      </c>
      <c r="E93" s="12">
        <f>IF(D93="YES",1,0)</f>
        <v>1</v>
      </c>
      <c r="F93" s="20"/>
      <c r="G93" s="20"/>
      <c r="H93" s="21"/>
    </row>
    <row r="94" spans="3:8" ht="57" customHeight="1" x14ac:dyDescent="0.3">
      <c r="C94" s="157" t="s">
        <v>50</v>
      </c>
      <c r="D94" s="12" t="s">
        <v>82</v>
      </c>
      <c r="E94" s="12">
        <f t="shared" ref="E94:E97" si="9">IF(D94="YES",1,0)</f>
        <v>0</v>
      </c>
      <c r="F94" s="20"/>
      <c r="G94" s="20"/>
      <c r="H94" s="21"/>
    </row>
    <row r="95" spans="3:8" ht="33" customHeight="1" x14ac:dyDescent="0.3">
      <c r="C95" s="157" t="s">
        <v>51</v>
      </c>
      <c r="D95" s="12" t="s">
        <v>49</v>
      </c>
      <c r="E95" s="12">
        <f t="shared" si="9"/>
        <v>1</v>
      </c>
      <c r="F95" s="20"/>
      <c r="G95" s="20"/>
      <c r="H95" s="21"/>
    </row>
    <row r="96" spans="3:8" ht="33" customHeight="1" x14ac:dyDescent="0.3">
      <c r="C96" s="157" t="s">
        <v>52</v>
      </c>
      <c r="D96" s="12" t="s">
        <v>49</v>
      </c>
      <c r="E96" s="12">
        <f t="shared" si="9"/>
        <v>1</v>
      </c>
      <c r="F96" s="20"/>
      <c r="G96" s="20"/>
      <c r="H96" s="21"/>
    </row>
    <row r="97" spans="3:13" ht="33" customHeight="1" thickBot="1" x14ac:dyDescent="0.35">
      <c r="C97" s="158" t="s">
        <v>53</v>
      </c>
      <c r="D97" s="12" t="s">
        <v>49</v>
      </c>
      <c r="E97" s="12">
        <f t="shared" si="9"/>
        <v>1</v>
      </c>
      <c r="F97" s="20"/>
      <c r="G97" s="20"/>
      <c r="H97" s="21"/>
    </row>
    <row r="98" spans="3:13" ht="33" customHeight="1" x14ac:dyDescent="0.3">
      <c r="C98" s="212" t="s">
        <v>46</v>
      </c>
      <c r="D98" s="213"/>
      <c r="E98" s="18">
        <f>SUM(E93:E97)</f>
        <v>4</v>
      </c>
      <c r="F98" s="20"/>
      <c r="G98" s="20"/>
      <c r="H98" s="21"/>
    </row>
    <row r="99" spans="3:13" ht="27" customHeight="1" thickBot="1" x14ac:dyDescent="0.35">
      <c r="C99" s="112"/>
      <c r="D99" s="113"/>
      <c r="E99" s="113"/>
      <c r="F99" s="113"/>
      <c r="G99" s="113"/>
      <c r="H99" s="114"/>
    </row>
    <row r="100" spans="3:13" ht="104.25" customHeight="1" thickBot="1" x14ac:dyDescent="0.35">
      <c r="C100" s="214" t="s">
        <v>54</v>
      </c>
      <c r="D100" s="215"/>
      <c r="E100" s="215"/>
      <c r="F100" s="215"/>
      <c r="G100" s="215"/>
      <c r="H100" s="215"/>
      <c r="I100" s="215"/>
      <c r="J100" s="215"/>
      <c r="K100" s="215"/>
      <c r="L100" s="215"/>
      <c r="M100" s="215"/>
    </row>
    <row r="101" spans="3:13" ht="39.75" customHeight="1" thickBot="1" x14ac:dyDescent="0.35">
      <c r="C101" s="102" t="s">
        <v>55</v>
      </c>
      <c r="D101" s="7" t="s">
        <v>56</v>
      </c>
      <c r="E101" s="7" t="s">
        <v>57</v>
      </c>
      <c r="F101" s="7" t="s">
        <v>58</v>
      </c>
      <c r="G101" s="7" t="s">
        <v>30</v>
      </c>
      <c r="H101" s="7" t="s">
        <v>59</v>
      </c>
      <c r="I101" s="7" t="s">
        <v>60</v>
      </c>
      <c r="J101" s="7" t="s">
        <v>61</v>
      </c>
      <c r="K101" s="7" t="s">
        <v>62</v>
      </c>
      <c r="L101" s="7" t="s">
        <v>63</v>
      </c>
      <c r="M101" s="7" t="s">
        <v>64</v>
      </c>
    </row>
    <row r="102" spans="3:13" ht="39.75" customHeight="1" thickBot="1" x14ac:dyDescent="0.35">
      <c r="C102" s="102" t="s">
        <v>65</v>
      </c>
      <c r="D102" s="7" t="str">
        <f>'3-Hazard Assessment'!B14</f>
        <v>Dengue</v>
      </c>
      <c r="E102" s="7" t="str">
        <f>'3-Hazard Assessment'!C14</f>
        <v>Cholera</v>
      </c>
      <c r="F102" s="7" t="str">
        <f>'3-Hazard Assessment'!D14</f>
        <v>Malaria</v>
      </c>
      <c r="G102" s="7" t="str">
        <f>'3-Hazard Assessment'!E14</f>
        <v>VHF</v>
      </c>
      <c r="H102" s="7" t="str">
        <f>'3-Hazard Assessment'!F14</f>
        <v>Covid-19</v>
      </c>
      <c r="I102" s="7" t="str">
        <f>'3-Hazard Assessment'!G14</f>
        <v>Influenza</v>
      </c>
      <c r="J102" s="7" t="str">
        <f>'3-Hazard Assessment'!H14</f>
        <v>Mass Casualities</v>
      </c>
      <c r="K102" s="7" t="str">
        <f>'3-Hazard Assessment'!I14</f>
        <v>Chemical</v>
      </c>
      <c r="L102" s="7" t="str">
        <f>'3-Hazard Assessment'!J14</f>
        <v>Radiological</v>
      </c>
      <c r="M102" s="7" t="str">
        <f>'3-Hazard Assessment'!K14</f>
        <v>Physical</v>
      </c>
    </row>
    <row r="103" spans="3:13" ht="30" customHeight="1" thickBot="1" x14ac:dyDescent="0.35">
      <c r="C103" s="103" t="s">
        <v>40</v>
      </c>
      <c r="D103" s="98">
        <f>E16</f>
        <v>5</v>
      </c>
      <c r="E103" s="23">
        <f>E25</f>
        <v>5</v>
      </c>
      <c r="F103" s="23">
        <f>E34</f>
        <v>5</v>
      </c>
      <c r="G103" s="23">
        <f>E44</f>
        <v>5</v>
      </c>
      <c r="H103" s="23">
        <f>E53</f>
        <v>4</v>
      </c>
      <c r="I103" s="23">
        <f>E62</f>
        <v>5</v>
      </c>
      <c r="J103" s="23">
        <f>E71</f>
        <v>2</v>
      </c>
      <c r="K103" s="23">
        <f>E80</f>
        <v>4</v>
      </c>
      <c r="L103" s="23">
        <f>E89</f>
        <v>4</v>
      </c>
      <c r="M103" s="24">
        <f>E98</f>
        <v>4</v>
      </c>
    </row>
    <row r="104" spans="3:13" ht="16.2" thickBot="1" x14ac:dyDescent="0.35">
      <c r="C104" s="103" t="s">
        <v>66</v>
      </c>
      <c r="D104" s="99" t="str">
        <f>IF(D103=1,"Very Low Exposed",IF(D103=2,"Low Exposed",IF(D103=3,"Moderate Exposed",IF(D103=4,"High Exposed",IF(D103=5,"Very High Exposed")))))</f>
        <v>Very High Exposed</v>
      </c>
      <c r="E104" s="99" t="str">
        <f t="shared" ref="E104:M104" si="10">IF(E103=1,"Very Low Exposed",IF(E103=2,"Low Exposed",IF(E103=3,"Moderate Exposed",IF(E103=4,"High Exposed",IF(E103=5,"Very High Exposed")))))</f>
        <v>Very High Exposed</v>
      </c>
      <c r="F104" s="99" t="str">
        <f t="shared" si="10"/>
        <v>Very High Exposed</v>
      </c>
      <c r="G104" s="99" t="str">
        <f t="shared" si="10"/>
        <v>Very High Exposed</v>
      </c>
      <c r="H104" s="99" t="str">
        <f t="shared" si="10"/>
        <v>High Exposed</v>
      </c>
      <c r="I104" s="99" t="str">
        <f t="shared" si="10"/>
        <v>Very High Exposed</v>
      </c>
      <c r="J104" s="99" t="str">
        <f t="shared" si="10"/>
        <v>Low Exposed</v>
      </c>
      <c r="K104" s="99" t="str">
        <f t="shared" si="10"/>
        <v>High Exposed</v>
      </c>
      <c r="L104" s="99" t="str">
        <f t="shared" si="10"/>
        <v>High Exposed</v>
      </c>
      <c r="M104" s="99" t="str">
        <f t="shared" si="10"/>
        <v>High Exposed</v>
      </c>
    </row>
    <row r="105" spans="3:13" x14ac:dyDescent="0.3">
      <c r="C105" s="118"/>
      <c r="D105" s="104"/>
      <c r="E105" s="115"/>
      <c r="F105" s="115"/>
      <c r="G105" s="115"/>
      <c r="H105" s="115"/>
    </row>
    <row r="106" spans="3:13" x14ac:dyDescent="0.3">
      <c r="C106" s="104"/>
      <c r="D106" s="104"/>
      <c r="E106" s="104"/>
      <c r="F106" s="104"/>
      <c r="G106" s="104"/>
      <c r="H106" s="104"/>
    </row>
    <row r="107" spans="3:13" x14ac:dyDescent="0.3">
      <c r="C107" s="104"/>
      <c r="D107" s="115"/>
      <c r="E107" s="115"/>
      <c r="F107" s="115"/>
      <c r="G107" s="115"/>
      <c r="H107" s="115"/>
    </row>
    <row r="108" spans="3:13" x14ac:dyDescent="0.3">
      <c r="C108" s="118"/>
      <c r="D108" s="115"/>
      <c r="E108" s="115"/>
      <c r="F108" s="115"/>
      <c r="G108" s="115"/>
      <c r="H108" s="115"/>
    </row>
    <row r="109" spans="3:13" x14ac:dyDescent="0.3">
      <c r="C109" s="104"/>
      <c r="D109" s="115"/>
      <c r="E109" s="115"/>
      <c r="F109" s="115"/>
      <c r="G109" s="115"/>
      <c r="H109" s="115"/>
    </row>
    <row r="110" spans="3:13" x14ac:dyDescent="0.3">
      <c r="C110" s="104"/>
    </row>
    <row r="111" spans="3:13" x14ac:dyDescent="0.3">
      <c r="C111" s="104"/>
    </row>
    <row r="112" spans="3:13" x14ac:dyDescent="0.3">
      <c r="C112" s="104"/>
      <c r="D112" s="115"/>
      <c r="E112" s="115"/>
      <c r="F112" s="115"/>
      <c r="G112" s="115"/>
      <c r="H112" s="115"/>
    </row>
    <row r="113" spans="3:8" x14ac:dyDescent="0.3">
      <c r="C113" s="104"/>
    </row>
    <row r="114" spans="3:8" x14ac:dyDescent="0.3">
      <c r="C114" s="104"/>
    </row>
    <row r="115" spans="3:8" x14ac:dyDescent="0.3">
      <c r="C115" s="104"/>
      <c r="D115" s="115"/>
      <c r="E115" s="115"/>
      <c r="F115" s="115"/>
      <c r="G115" s="115"/>
      <c r="H115" s="115"/>
    </row>
    <row r="116" spans="3:8" x14ac:dyDescent="0.3">
      <c r="C116" s="118"/>
      <c r="D116" s="115"/>
      <c r="E116" s="115"/>
      <c r="F116" s="115"/>
      <c r="G116" s="115"/>
      <c r="H116" s="115"/>
    </row>
    <row r="117" spans="3:8" x14ac:dyDescent="0.3">
      <c r="C117" s="118"/>
      <c r="D117" s="115"/>
      <c r="E117" s="115"/>
      <c r="F117" s="115"/>
      <c r="G117" s="115"/>
      <c r="H117" s="115"/>
    </row>
    <row r="118" spans="3:8" x14ac:dyDescent="0.3">
      <c r="D118" s="115"/>
      <c r="E118" s="115"/>
      <c r="F118" s="115"/>
      <c r="G118" s="115"/>
      <c r="H118" s="115"/>
    </row>
    <row r="119" spans="3:8" x14ac:dyDescent="0.3">
      <c r="C119" s="119"/>
      <c r="D119" s="115"/>
      <c r="E119" s="115"/>
      <c r="F119" s="115"/>
      <c r="G119" s="115"/>
      <c r="H119" s="115"/>
    </row>
    <row r="120" spans="3:8" x14ac:dyDescent="0.3">
      <c r="C120" s="119"/>
      <c r="D120" s="115"/>
      <c r="E120" s="115"/>
      <c r="F120" s="115"/>
      <c r="G120" s="115"/>
      <c r="H120" s="115"/>
    </row>
    <row r="121" spans="3:8" x14ac:dyDescent="0.3">
      <c r="C121" s="119"/>
      <c r="D121" s="115"/>
      <c r="E121" s="115"/>
      <c r="F121" s="115"/>
      <c r="G121" s="115"/>
      <c r="H121" s="115"/>
    </row>
    <row r="122" spans="3:8" x14ac:dyDescent="0.3">
      <c r="C122" s="119"/>
      <c r="D122" s="115"/>
      <c r="E122" s="115"/>
      <c r="F122" s="115"/>
      <c r="G122" s="115"/>
      <c r="H122" s="115"/>
    </row>
    <row r="123" spans="3:8" x14ac:dyDescent="0.3">
      <c r="C123" s="4"/>
    </row>
    <row r="124" spans="3:8" x14ac:dyDescent="0.3">
      <c r="C124" s="116"/>
      <c r="D124" s="115"/>
      <c r="E124" s="115"/>
      <c r="F124" s="115"/>
      <c r="G124" s="115"/>
      <c r="H124" s="115"/>
    </row>
    <row r="125" spans="3:8" x14ac:dyDescent="0.3">
      <c r="C125" s="116"/>
      <c r="D125" s="115"/>
      <c r="E125" s="115"/>
      <c r="F125" s="115"/>
      <c r="G125" s="115"/>
      <c r="H125" s="115"/>
    </row>
    <row r="126" spans="3:8" x14ac:dyDescent="0.3">
      <c r="C126" s="116"/>
      <c r="D126" s="115"/>
      <c r="E126" s="115"/>
      <c r="F126" s="115"/>
      <c r="G126" s="115"/>
      <c r="H126" s="115"/>
    </row>
    <row r="127" spans="3:8" x14ac:dyDescent="0.3">
      <c r="C127" s="116"/>
      <c r="D127" s="115"/>
      <c r="E127" s="115"/>
      <c r="F127" s="115"/>
      <c r="G127" s="115"/>
      <c r="H127" s="115"/>
    </row>
    <row r="128" spans="3:8" x14ac:dyDescent="0.3">
      <c r="C128" s="116"/>
      <c r="D128" s="115"/>
      <c r="E128" s="115"/>
      <c r="F128" s="115"/>
      <c r="G128" s="115"/>
      <c r="H128" s="115"/>
    </row>
    <row r="129" spans="3:8" x14ac:dyDescent="0.3">
      <c r="C129" s="4"/>
    </row>
    <row r="130" spans="3:8" x14ac:dyDescent="0.3">
      <c r="C130" s="116"/>
      <c r="D130" s="115"/>
      <c r="E130" s="115"/>
      <c r="F130" s="115"/>
      <c r="G130" s="115"/>
      <c r="H130" s="115"/>
    </row>
    <row r="132" spans="3:8" x14ac:dyDescent="0.3">
      <c r="C132" s="6"/>
    </row>
    <row r="133" spans="3:8" x14ac:dyDescent="0.3">
      <c r="D133" s="115"/>
      <c r="E133" s="115"/>
      <c r="F133" s="115"/>
      <c r="G133" s="115"/>
      <c r="H133" s="115"/>
    </row>
    <row r="134" spans="3:8" x14ac:dyDescent="0.3">
      <c r="C134" s="5"/>
      <c r="D134" s="115"/>
      <c r="E134" s="115"/>
      <c r="F134" s="115"/>
      <c r="G134" s="115"/>
      <c r="H134" s="115"/>
    </row>
    <row r="135" spans="3:8" x14ac:dyDescent="0.3">
      <c r="D135" s="115"/>
      <c r="E135" s="115"/>
      <c r="F135" s="115"/>
      <c r="G135" s="115"/>
      <c r="H135" s="115"/>
    </row>
    <row r="137" spans="3:8" x14ac:dyDescent="0.3">
      <c r="C137" s="6"/>
    </row>
    <row r="138" spans="3:8" x14ac:dyDescent="0.3">
      <c r="D138" s="115"/>
      <c r="E138" s="115"/>
      <c r="F138" s="115"/>
      <c r="G138" s="115"/>
      <c r="H138" s="115"/>
    </row>
    <row r="139" spans="3:8" x14ac:dyDescent="0.3">
      <c r="D139" s="115"/>
      <c r="E139" s="115"/>
      <c r="F139" s="115"/>
      <c r="G139" s="115"/>
      <c r="H139" s="115"/>
    </row>
    <row r="140" spans="3:8" x14ac:dyDescent="0.3">
      <c r="D140" s="115"/>
      <c r="E140" s="115"/>
      <c r="F140" s="115"/>
      <c r="G140" s="115"/>
      <c r="H140" s="115"/>
    </row>
    <row r="141" spans="3:8" x14ac:dyDescent="0.3">
      <c r="D141" s="115"/>
      <c r="E141" s="115"/>
      <c r="F141" s="115"/>
      <c r="G141" s="115"/>
      <c r="H141" s="115"/>
    </row>
  </sheetData>
  <mergeCells count="14">
    <mergeCell ref="C80:D80"/>
    <mergeCell ref="C89:D89"/>
    <mergeCell ref="C98:D98"/>
    <mergeCell ref="C100:M100"/>
    <mergeCell ref="C34:D34"/>
    <mergeCell ref="C44:D44"/>
    <mergeCell ref="C53:D53"/>
    <mergeCell ref="C62:D62"/>
    <mergeCell ref="C71:D71"/>
    <mergeCell ref="C4:H4"/>
    <mergeCell ref="C5:H5"/>
    <mergeCell ref="C6:H7"/>
    <mergeCell ref="C16:D16"/>
    <mergeCell ref="C25:D25"/>
  </mergeCells>
  <phoneticPr fontId="9" type="noConversion"/>
  <conditionalFormatting sqref="D112:H112">
    <cfRule type="containsText" dxfId="323" priority="16" operator="containsText" text="Low">
      <formula>NOT(ISERROR(SEARCH("Low",D112)))</formula>
    </cfRule>
    <cfRule type="containsText" dxfId="322" priority="17" operator="containsText" text="Medium">
      <formula>NOT(ISERROR(SEARCH("Medium",D112)))</formula>
    </cfRule>
    <cfRule type="containsText" dxfId="321" priority="18" operator="containsText" text="High">
      <formula>NOT(ISERROR(SEARCH("High",D112)))</formula>
    </cfRule>
  </conditionalFormatting>
  <conditionalFormatting sqref="D115:H122">
    <cfRule type="containsText" dxfId="320" priority="13" operator="containsText" text="Low">
      <formula>NOT(ISERROR(SEARCH("Low",D115)))</formula>
    </cfRule>
    <cfRule type="containsText" dxfId="319" priority="14" operator="containsText" text="Medium">
      <formula>NOT(ISERROR(SEARCH("Medium",D115)))</formula>
    </cfRule>
    <cfRule type="containsText" dxfId="318" priority="15" operator="containsText" text="High">
      <formula>NOT(ISERROR(SEARCH("High",D115)))</formula>
    </cfRule>
  </conditionalFormatting>
  <conditionalFormatting sqref="D124:H128">
    <cfRule type="containsText" dxfId="317" priority="10" operator="containsText" text="Low">
      <formula>NOT(ISERROR(SEARCH("Low",D124)))</formula>
    </cfRule>
    <cfRule type="containsText" dxfId="316" priority="11" operator="containsText" text="Medium">
      <formula>NOT(ISERROR(SEARCH("Medium",D124)))</formula>
    </cfRule>
    <cfRule type="containsText" dxfId="315" priority="12" operator="containsText" text="High">
      <formula>NOT(ISERROR(SEARCH("High",D124)))</formula>
    </cfRule>
  </conditionalFormatting>
  <conditionalFormatting sqref="D130:H130">
    <cfRule type="containsText" dxfId="314" priority="7" operator="containsText" text="Low">
      <formula>NOT(ISERROR(SEARCH("Low",D130)))</formula>
    </cfRule>
    <cfRule type="containsText" dxfId="313" priority="8" operator="containsText" text="Medium">
      <formula>NOT(ISERROR(SEARCH("Medium",D130)))</formula>
    </cfRule>
    <cfRule type="containsText" dxfId="312" priority="9" operator="containsText" text="High">
      <formula>NOT(ISERROR(SEARCH("High",D130)))</formula>
    </cfRule>
  </conditionalFormatting>
  <conditionalFormatting sqref="D133:H135">
    <cfRule type="containsText" dxfId="311" priority="4" operator="containsText" text="Low">
      <formula>NOT(ISERROR(SEARCH("Low",D133)))</formula>
    </cfRule>
    <cfRule type="containsText" dxfId="310" priority="5" operator="containsText" text="Medium">
      <formula>NOT(ISERROR(SEARCH("Medium",D133)))</formula>
    </cfRule>
    <cfRule type="containsText" dxfId="309" priority="6" operator="containsText" text="High">
      <formula>NOT(ISERROR(SEARCH("High",D133)))</formula>
    </cfRule>
  </conditionalFormatting>
  <conditionalFormatting sqref="D138:H141">
    <cfRule type="containsText" dxfId="308" priority="1" operator="containsText" text="Low">
      <formula>NOT(ISERROR(SEARCH("Low",D138)))</formula>
    </cfRule>
    <cfRule type="containsText" dxfId="307" priority="2" operator="containsText" text="Medium">
      <formula>NOT(ISERROR(SEARCH("Medium",D138)))</formula>
    </cfRule>
    <cfRule type="containsText" dxfId="306" priority="3" operator="containsText" text="High">
      <formula>NOT(ISERROR(SEARCH("High",D138)))</formula>
    </cfRule>
  </conditionalFormatting>
  <conditionalFormatting sqref="D103:M103 E105:H105 D107:H109">
    <cfRule type="containsText" dxfId="305" priority="19" operator="containsText" text="Low">
      <formula>NOT(ISERROR(SEARCH("Low",D103)))</formula>
    </cfRule>
    <cfRule type="containsText" dxfId="304" priority="20" operator="containsText" text="Medium">
      <formula>NOT(ISERROR(SEARCH("Medium",D103)))</formula>
    </cfRule>
    <cfRule type="containsText" dxfId="303" priority="21" operator="containsText" text="High">
      <formula>NOT(ISERROR(SEARCH("High",D103)))</formula>
    </cfRule>
  </conditionalFormatting>
  <dataValidations count="1">
    <dataValidation type="list" allowBlank="1" showInputMessage="1" showErrorMessage="1" sqref="D138:H141 E105:H105 D107:H109 D133:H135 D130:H130 D124:H128 D115:H122 D111:H112">
      <formula1>$K$103:$K$105</formula1>
    </dataValidation>
  </dataValidations>
  <pageMargins left="0.75" right="0.75" top="1" bottom="1" header="0.5" footer="0.5"/>
  <pageSetup paperSize="9" orientation="portrait" horizontalDpi="4294967292" verticalDpi="4294967292"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'Support sheet '!$E$16:$E$18</xm:f>
          </x14:formula1>
          <xm:sqref>D93:D97 D20:D24 D11:D15 D29:D33 D39:D43 D48:D52 D84:D88 D57:D58 D75:D79 D66:D70</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86"/>
  <sheetViews>
    <sheetView topLeftCell="A64" zoomScale="73" zoomScaleNormal="73" workbookViewId="0">
      <selection activeCell="C80" sqref="C80"/>
    </sheetView>
  </sheetViews>
  <sheetFormatPr defaultColWidth="8.69921875" defaultRowHeight="15.6" x14ac:dyDescent="0.3"/>
  <cols>
    <col min="2" max="2" width="48.09765625" customWidth="1"/>
    <col min="3" max="3" width="34.69921875" customWidth="1"/>
    <col min="4" max="4" width="25.5" customWidth="1"/>
    <col min="5" max="5" width="23.19921875" customWidth="1"/>
    <col min="6" max="6" width="21.59765625" customWidth="1"/>
    <col min="7" max="7" width="20.59765625" customWidth="1"/>
    <col min="8" max="8" width="17" customWidth="1"/>
    <col min="9" max="9" width="18.19921875" customWidth="1"/>
    <col min="10" max="10" width="14.09765625" customWidth="1"/>
    <col min="11" max="11" width="15.19921875" customWidth="1"/>
    <col min="12" max="12" width="15.5" customWidth="1"/>
  </cols>
  <sheetData>
    <row r="3" spans="2:10" ht="16.2" thickBot="1" x14ac:dyDescent="0.35"/>
    <row r="4" spans="2:10" ht="403.95" customHeight="1" x14ac:dyDescent="0.3">
      <c r="B4" s="216" t="s">
        <v>217</v>
      </c>
      <c r="C4" s="217"/>
      <c r="D4" s="217"/>
      <c r="E4" s="217"/>
      <c r="F4" s="217"/>
      <c r="G4" s="218"/>
    </row>
    <row r="5" spans="2:10" ht="28.2" customHeight="1" x14ac:dyDescent="0.3">
      <c r="B5" s="29"/>
      <c r="C5" s="29"/>
      <c r="D5" s="29"/>
      <c r="E5" s="29"/>
      <c r="F5" s="29"/>
      <c r="G5" s="29"/>
    </row>
    <row r="6" spans="2:10" ht="23.7" customHeight="1" x14ac:dyDescent="0.3">
      <c r="B6" s="120" t="s">
        <v>27</v>
      </c>
      <c r="C6" s="121" t="str">
        <f>'3-Hazard Assessment'!B14</f>
        <v>Dengue</v>
      </c>
      <c r="D6" s="108"/>
      <c r="E6" s="29"/>
      <c r="F6" s="29"/>
      <c r="G6" s="29"/>
    </row>
    <row r="7" spans="2:10" ht="46.95" customHeight="1" thickBot="1" x14ac:dyDescent="0.35">
      <c r="B7" s="101" t="s">
        <v>38</v>
      </c>
      <c r="C7" s="33" t="s">
        <v>67</v>
      </c>
      <c r="D7" s="14" t="s">
        <v>40</v>
      </c>
      <c r="E7" s="29"/>
      <c r="F7" s="29"/>
      <c r="G7" s="29"/>
      <c r="J7" s="30" t="s">
        <v>68</v>
      </c>
    </row>
    <row r="8" spans="2:10" ht="61.2" customHeight="1" thickBot="1" x14ac:dyDescent="0.35">
      <c r="B8" s="160" t="s">
        <v>218</v>
      </c>
      <c r="C8" s="12" t="s">
        <v>49</v>
      </c>
      <c r="D8" s="12">
        <f>IF(C8="YES",1,0)</f>
        <v>1</v>
      </c>
      <c r="E8" s="29"/>
      <c r="F8" s="29"/>
      <c r="G8" s="29"/>
    </row>
    <row r="9" spans="2:10" ht="105" customHeight="1" thickBot="1" x14ac:dyDescent="0.35">
      <c r="B9" s="158" t="s">
        <v>219</v>
      </c>
      <c r="C9" s="29" t="s">
        <v>74</v>
      </c>
      <c r="D9" s="12">
        <f>IF(C9='Support sheet '!$E$25,2,IF(C9='Support sheet '!$E$26,1,IF(C9='Support sheet '!$E$27,0)))</f>
        <v>1</v>
      </c>
      <c r="E9" s="29"/>
      <c r="F9" s="29"/>
      <c r="G9" s="29"/>
    </row>
    <row r="10" spans="2:10" ht="54" customHeight="1" thickBot="1" x14ac:dyDescent="0.35">
      <c r="B10" s="158" t="s">
        <v>220</v>
      </c>
      <c r="C10" s="29" t="s">
        <v>74</v>
      </c>
      <c r="D10" s="12">
        <f>IF(C10='Support sheet '!$E$25,2,IF(C10='Support sheet '!$E$26,1,IF(C10='Support sheet '!$E$27,0)))</f>
        <v>1</v>
      </c>
      <c r="E10" s="29"/>
      <c r="F10" s="29"/>
      <c r="G10" s="29"/>
    </row>
    <row r="11" spans="2:10" ht="24.6" customHeight="1" x14ac:dyDescent="0.3">
      <c r="B11" s="219" t="s">
        <v>46</v>
      </c>
      <c r="C11" s="219"/>
      <c r="D11" s="18">
        <f>SUM(D8:D10)</f>
        <v>3</v>
      </c>
      <c r="E11" s="29"/>
      <c r="F11" s="29"/>
      <c r="G11" s="29"/>
    </row>
    <row r="12" spans="2:10" ht="24.6" customHeight="1" x14ac:dyDescent="0.3">
      <c r="D12" s="18"/>
      <c r="E12" s="29"/>
      <c r="F12" s="29"/>
      <c r="G12" s="29"/>
    </row>
    <row r="13" spans="2:10" ht="24.6" customHeight="1" x14ac:dyDescent="0.3">
      <c r="B13" s="120" t="s">
        <v>28</v>
      </c>
      <c r="C13" s="121" t="str">
        <f>'3-Hazard Assessment'!C14</f>
        <v>Cholera</v>
      </c>
      <c r="D13" s="29"/>
      <c r="E13" s="29"/>
      <c r="F13" s="29"/>
      <c r="G13" s="29"/>
    </row>
    <row r="14" spans="2:10" ht="34.200000000000003" customHeight="1" thickBot="1" x14ac:dyDescent="0.35">
      <c r="B14" s="101" t="s">
        <v>38</v>
      </c>
      <c r="C14" s="33" t="s">
        <v>67</v>
      </c>
      <c r="D14" s="14" t="s">
        <v>40</v>
      </c>
      <c r="E14" s="29"/>
      <c r="F14" s="29"/>
      <c r="G14" s="29"/>
    </row>
    <row r="15" spans="2:10" ht="46.95" customHeight="1" thickBot="1" x14ac:dyDescent="0.35">
      <c r="B15" s="160" t="s">
        <v>69</v>
      </c>
      <c r="C15" s="12" t="s">
        <v>49</v>
      </c>
      <c r="D15" s="12">
        <f>IF(C15="YES",1,0)</f>
        <v>1</v>
      </c>
      <c r="E15" s="29"/>
      <c r="F15" s="29"/>
      <c r="G15" s="29"/>
    </row>
    <row r="16" spans="2:10" ht="70.95" customHeight="1" thickBot="1" x14ac:dyDescent="0.35">
      <c r="B16" s="158" t="s">
        <v>70</v>
      </c>
      <c r="C16" s="29" t="s">
        <v>73</v>
      </c>
      <c r="D16" s="12">
        <f>IF(C16='Support sheet '!$E$25,2,IF(C16='Support sheet '!$E$26,1,IF(C16='Support sheet '!$E$27,0)))</f>
        <v>2</v>
      </c>
      <c r="E16" s="29"/>
      <c r="F16" s="29"/>
      <c r="G16" s="29"/>
    </row>
    <row r="17" spans="2:7" ht="40.200000000000003" customHeight="1" thickBot="1" x14ac:dyDescent="0.35">
      <c r="B17" s="158" t="s">
        <v>72</v>
      </c>
      <c r="C17" s="29" t="s">
        <v>73</v>
      </c>
      <c r="D17" s="12">
        <f>IF(C17='Support sheet '!$E$25,2,IF(C17='Support sheet '!$E$26,1,IF(C17='Support sheet '!$E$27,0)))</f>
        <v>2</v>
      </c>
      <c r="E17" s="29"/>
      <c r="F17" s="29"/>
      <c r="G17" s="29"/>
    </row>
    <row r="18" spans="2:7" ht="24.6" customHeight="1" x14ac:dyDescent="0.3">
      <c r="B18" s="219" t="s">
        <v>46</v>
      </c>
      <c r="C18" s="219"/>
      <c r="D18" s="18">
        <f>SUM(D15:D17)</f>
        <v>5</v>
      </c>
      <c r="E18" s="29"/>
      <c r="F18" s="29"/>
      <c r="G18" s="29"/>
    </row>
    <row r="19" spans="2:7" ht="24.6" customHeight="1" x14ac:dyDescent="0.3">
      <c r="B19" s="110"/>
      <c r="C19" s="111"/>
      <c r="D19" s="18"/>
      <c r="E19" s="29"/>
      <c r="F19" s="29"/>
      <c r="G19" s="29"/>
    </row>
    <row r="20" spans="2:7" ht="24.6" customHeight="1" x14ac:dyDescent="0.3">
      <c r="B20" s="120" t="s">
        <v>29</v>
      </c>
      <c r="C20" s="121" t="str">
        <f>'3-Hazard Assessment'!D14</f>
        <v>Malaria</v>
      </c>
      <c r="D20" s="108"/>
      <c r="E20" s="29"/>
      <c r="F20" s="29"/>
      <c r="G20" s="29"/>
    </row>
    <row r="21" spans="2:7" ht="46.5" customHeight="1" thickBot="1" x14ac:dyDescent="0.35">
      <c r="B21" s="101" t="s">
        <v>38</v>
      </c>
      <c r="C21" s="33" t="s">
        <v>67</v>
      </c>
      <c r="D21" s="14" t="s">
        <v>40</v>
      </c>
      <c r="E21" s="29"/>
      <c r="F21" s="29"/>
      <c r="G21" s="29"/>
    </row>
    <row r="22" spans="2:7" ht="46.5" customHeight="1" thickBot="1" x14ac:dyDescent="0.35">
      <c r="B22" s="160" t="s">
        <v>69</v>
      </c>
      <c r="C22" s="12" t="s">
        <v>41</v>
      </c>
      <c r="D22" s="12">
        <f>IF(C22="YES",1,0)</f>
        <v>0</v>
      </c>
      <c r="E22" s="29"/>
      <c r="F22" s="29"/>
      <c r="G22" s="29"/>
    </row>
    <row r="23" spans="2:7" ht="44.25" customHeight="1" thickBot="1" x14ac:dyDescent="0.35">
      <c r="B23" s="158" t="s">
        <v>70</v>
      </c>
      <c r="C23" s="29" t="s">
        <v>74</v>
      </c>
      <c r="D23" s="12">
        <f>IF(C23='Support sheet '!$E$25,2,IF(C23='Support sheet '!$E$26,1,IF(C23='Support sheet '!$E$27,0)))</f>
        <v>1</v>
      </c>
      <c r="E23" s="29"/>
      <c r="F23" s="29"/>
      <c r="G23" s="29"/>
    </row>
    <row r="24" spans="2:7" ht="45" customHeight="1" thickBot="1" x14ac:dyDescent="0.35">
      <c r="B24" s="158" t="s">
        <v>72</v>
      </c>
      <c r="C24" s="29" t="s">
        <v>74</v>
      </c>
      <c r="D24" s="12">
        <f>IF(C24='Support sheet '!$E$25,2,IF(C24='Support sheet '!$E$26,1,IF(C24='Support sheet '!$E$27,0)))</f>
        <v>1</v>
      </c>
      <c r="E24" s="29"/>
      <c r="F24" s="29"/>
      <c r="G24" s="29"/>
    </row>
    <row r="25" spans="2:7" ht="24.6" customHeight="1" x14ac:dyDescent="0.3">
      <c r="B25" s="219" t="s">
        <v>46</v>
      </c>
      <c r="C25" s="219"/>
      <c r="D25" s="18">
        <f>SUM(D22:D24)</f>
        <v>2</v>
      </c>
      <c r="E25" s="29"/>
      <c r="F25" s="29"/>
      <c r="G25" s="29"/>
    </row>
    <row r="26" spans="2:7" ht="24.6" customHeight="1" x14ac:dyDescent="0.3">
      <c r="B26" s="109"/>
      <c r="C26" s="109"/>
      <c r="D26" s="18"/>
      <c r="E26" s="29"/>
      <c r="F26" s="29"/>
      <c r="G26" s="29"/>
    </row>
    <row r="27" spans="2:7" ht="24.6" customHeight="1" x14ac:dyDescent="0.3">
      <c r="B27" s="120" t="s">
        <v>30</v>
      </c>
      <c r="C27" s="1" t="str">
        <f>'3-Hazard Assessment'!E14</f>
        <v>VHF</v>
      </c>
      <c r="D27" s="108"/>
      <c r="E27" s="29"/>
      <c r="F27" s="29"/>
      <c r="G27" s="29"/>
    </row>
    <row r="28" spans="2:7" ht="45.6" customHeight="1" thickBot="1" x14ac:dyDescent="0.35">
      <c r="B28" s="101" t="s">
        <v>38</v>
      </c>
      <c r="C28" s="33" t="s">
        <v>67</v>
      </c>
      <c r="D28" s="14" t="s">
        <v>40</v>
      </c>
      <c r="E28" s="29"/>
      <c r="F28" s="29"/>
      <c r="G28" s="29"/>
    </row>
    <row r="29" spans="2:7" ht="32.25" customHeight="1" thickBot="1" x14ac:dyDescent="0.35">
      <c r="B29" s="160" t="s">
        <v>69</v>
      </c>
      <c r="C29" s="12" t="s">
        <v>49</v>
      </c>
      <c r="D29" s="12">
        <f>IF(C29="YES",1,0)</f>
        <v>1</v>
      </c>
      <c r="E29" s="29"/>
      <c r="F29" s="29"/>
      <c r="G29" s="29"/>
    </row>
    <row r="30" spans="2:7" ht="29.25" customHeight="1" thickBot="1" x14ac:dyDescent="0.35">
      <c r="B30" s="158" t="s">
        <v>70</v>
      </c>
      <c r="C30" s="29" t="s">
        <v>74</v>
      </c>
      <c r="D30" s="12">
        <f>IF(C30='Support sheet '!$E$25,2,IF(C30='Support sheet '!$E$26,1,IF(C30='Support sheet '!$E$27,0)))</f>
        <v>1</v>
      </c>
      <c r="E30" s="29"/>
      <c r="F30" s="29"/>
      <c r="G30" s="29"/>
    </row>
    <row r="31" spans="2:7" ht="35.25" customHeight="1" thickBot="1" x14ac:dyDescent="0.35">
      <c r="B31" s="158" t="s">
        <v>72</v>
      </c>
      <c r="C31" s="29" t="s">
        <v>74</v>
      </c>
      <c r="D31" s="12">
        <f>IF(C31='Support sheet '!$E$25,2,IF(C31='Support sheet '!$E$26,1,IF(C31='Support sheet '!$E$27,0)))</f>
        <v>1</v>
      </c>
      <c r="E31" s="29"/>
      <c r="F31" s="29"/>
      <c r="G31" s="29"/>
    </row>
    <row r="32" spans="2:7" ht="24.6" customHeight="1" x14ac:dyDescent="0.3">
      <c r="B32" s="219" t="s">
        <v>46</v>
      </c>
      <c r="C32" s="219"/>
      <c r="D32" s="18">
        <f>SUM(D29:D31)</f>
        <v>3</v>
      </c>
      <c r="E32" s="29"/>
      <c r="F32" s="29"/>
      <c r="G32" s="29"/>
    </row>
    <row r="33" spans="2:7" ht="24.6" customHeight="1" x14ac:dyDescent="0.3">
      <c r="B33" s="30"/>
      <c r="C33" s="29"/>
      <c r="D33" s="29"/>
      <c r="E33" s="29"/>
      <c r="F33" s="29"/>
      <c r="G33" s="29"/>
    </row>
    <row r="34" spans="2:7" ht="24.6" customHeight="1" x14ac:dyDescent="0.3">
      <c r="B34" s="120" t="s">
        <v>31</v>
      </c>
      <c r="C34" s="121" t="str">
        <f>'3-Hazard Assessment'!F14</f>
        <v>Covid-19</v>
      </c>
      <c r="D34" s="108"/>
      <c r="E34" s="29"/>
      <c r="F34" s="29"/>
      <c r="G34" s="29"/>
    </row>
    <row r="35" spans="2:7" ht="34.5" customHeight="1" thickBot="1" x14ac:dyDescent="0.35">
      <c r="B35" s="101" t="s">
        <v>38</v>
      </c>
      <c r="C35" s="33" t="s">
        <v>67</v>
      </c>
      <c r="D35" s="14" t="s">
        <v>40</v>
      </c>
      <c r="E35" s="29"/>
      <c r="F35" s="29"/>
      <c r="G35" s="29"/>
    </row>
    <row r="36" spans="2:7" ht="31.5" customHeight="1" thickBot="1" x14ac:dyDescent="0.35">
      <c r="B36" s="160" t="s">
        <v>69</v>
      </c>
      <c r="C36" s="12" t="s">
        <v>49</v>
      </c>
      <c r="D36" s="12">
        <f>IF(C36="YES",1,0)</f>
        <v>1</v>
      </c>
      <c r="E36" s="29"/>
      <c r="F36" s="29"/>
      <c r="G36" s="29"/>
    </row>
    <row r="37" spans="2:7" ht="50.25" customHeight="1" thickBot="1" x14ac:dyDescent="0.35">
      <c r="B37" s="158" t="s">
        <v>70</v>
      </c>
      <c r="C37" s="29" t="s">
        <v>74</v>
      </c>
      <c r="D37" s="12">
        <f>IF(C37='Support sheet '!$E$25,2,IF(C37='Support sheet '!$E$26,1,IF(C37='Support sheet '!$E$27,0)))</f>
        <v>1</v>
      </c>
      <c r="E37" s="29"/>
      <c r="F37" s="29"/>
      <c r="G37" s="29"/>
    </row>
    <row r="38" spans="2:7" ht="40.5" customHeight="1" thickBot="1" x14ac:dyDescent="0.35">
      <c r="B38" s="158" t="s">
        <v>72</v>
      </c>
      <c r="C38" s="29" t="s">
        <v>71</v>
      </c>
      <c r="D38" s="12">
        <f>IF(C38='Support sheet '!$E$25,2,IF(C38='Support sheet '!$E$26,1,IF(C38='Support sheet '!$E$27,0)))</f>
        <v>0</v>
      </c>
      <c r="E38" s="29"/>
      <c r="F38" s="29"/>
      <c r="G38" s="29"/>
    </row>
    <row r="39" spans="2:7" ht="24.6" customHeight="1" x14ac:dyDescent="0.3">
      <c r="B39" s="219" t="s">
        <v>46</v>
      </c>
      <c r="C39" s="219"/>
      <c r="D39" s="18">
        <f>SUM(D36:D38)</f>
        <v>2</v>
      </c>
      <c r="E39" s="29"/>
      <c r="F39" s="29"/>
      <c r="G39" s="29"/>
    </row>
    <row r="40" spans="2:7" ht="24.6" customHeight="1" x14ac:dyDescent="0.3">
      <c r="B40" s="30"/>
      <c r="C40" s="29"/>
      <c r="D40" s="29"/>
      <c r="E40" s="29"/>
      <c r="F40" s="29"/>
      <c r="G40" s="29"/>
    </row>
    <row r="41" spans="2:7" ht="24.6" customHeight="1" x14ac:dyDescent="0.3">
      <c r="B41" s="120" t="s">
        <v>32</v>
      </c>
      <c r="C41" s="121" t="str">
        <f>'3-Hazard Assessment'!G14</f>
        <v>Influenza</v>
      </c>
      <c r="D41" s="108"/>
      <c r="E41" s="29"/>
      <c r="F41" s="29"/>
      <c r="G41" s="29"/>
    </row>
    <row r="42" spans="2:7" ht="24.6" customHeight="1" thickBot="1" x14ac:dyDescent="0.35">
      <c r="B42" s="101" t="s">
        <v>38</v>
      </c>
      <c r="C42" s="33" t="s">
        <v>67</v>
      </c>
      <c r="D42" s="14" t="s">
        <v>40</v>
      </c>
      <c r="E42" s="29"/>
      <c r="F42" s="29"/>
      <c r="G42" s="29"/>
    </row>
    <row r="43" spans="2:7" ht="32.25" customHeight="1" thickBot="1" x14ac:dyDescent="0.35">
      <c r="B43" s="160" t="s">
        <v>69</v>
      </c>
      <c r="C43" s="12" t="s">
        <v>49</v>
      </c>
      <c r="D43" s="12">
        <f>IF(C43="YES",1,0)</f>
        <v>1</v>
      </c>
      <c r="E43" s="29"/>
      <c r="F43" s="29"/>
      <c r="G43" s="29"/>
    </row>
    <row r="44" spans="2:7" ht="27.75" customHeight="1" thickBot="1" x14ac:dyDescent="0.35">
      <c r="B44" s="158" t="s">
        <v>70</v>
      </c>
      <c r="C44" s="29" t="s">
        <v>71</v>
      </c>
      <c r="D44" s="12">
        <f>IF(C44='Support sheet '!$E$25,2,IF(C44='Support sheet '!$E$26,1,IF(C44='Support sheet '!$E$27,0)))</f>
        <v>0</v>
      </c>
      <c r="E44" s="29"/>
      <c r="F44" s="29"/>
      <c r="G44" s="29"/>
    </row>
    <row r="45" spans="2:7" ht="32.25" customHeight="1" thickBot="1" x14ac:dyDescent="0.35">
      <c r="B45" s="158" t="s">
        <v>72</v>
      </c>
      <c r="C45" s="29" t="s">
        <v>71</v>
      </c>
      <c r="D45" s="12">
        <f>IF(C45='Support sheet '!$E$25,2,IF(C45='Support sheet '!$E$26,1,IF(C45='Support sheet '!$E$27,0)))</f>
        <v>0</v>
      </c>
      <c r="E45" s="29"/>
      <c r="F45" s="29"/>
      <c r="G45" s="29"/>
    </row>
    <row r="46" spans="2:7" ht="24.6" customHeight="1" x14ac:dyDescent="0.3">
      <c r="B46" s="219" t="s">
        <v>46</v>
      </c>
      <c r="C46" s="219"/>
      <c r="D46" s="18">
        <f>SUM(D43:D45)</f>
        <v>1</v>
      </c>
      <c r="E46" s="29"/>
      <c r="F46" s="29"/>
      <c r="G46" s="29"/>
    </row>
    <row r="47" spans="2:7" ht="24.6" customHeight="1" x14ac:dyDescent="0.3">
      <c r="B47" s="30"/>
      <c r="C47" s="29"/>
      <c r="D47" s="29"/>
      <c r="E47" s="29"/>
      <c r="F47" s="29"/>
      <c r="G47" s="29"/>
    </row>
    <row r="48" spans="2:7" ht="24.6" customHeight="1" x14ac:dyDescent="0.3">
      <c r="B48" s="120" t="s">
        <v>33</v>
      </c>
      <c r="C48" s="121" t="str">
        <f>'3-Hazard Assessment'!H14</f>
        <v>Mass Casualities</v>
      </c>
      <c r="D48" s="108"/>
      <c r="E48" s="29"/>
      <c r="F48" s="29"/>
      <c r="G48" s="29"/>
    </row>
    <row r="49" spans="2:7" ht="29.25" customHeight="1" thickBot="1" x14ac:dyDescent="0.35">
      <c r="B49" s="101" t="s">
        <v>38</v>
      </c>
      <c r="C49" s="33" t="s">
        <v>67</v>
      </c>
      <c r="D49" s="14" t="s">
        <v>40</v>
      </c>
      <c r="E49" s="29"/>
      <c r="F49" s="29"/>
      <c r="G49" s="29"/>
    </row>
    <row r="50" spans="2:7" ht="49.5" customHeight="1" thickBot="1" x14ac:dyDescent="0.35">
      <c r="B50" s="160" t="s">
        <v>69</v>
      </c>
      <c r="C50" s="12" t="s">
        <v>41</v>
      </c>
      <c r="D50" s="12">
        <f>IF(C50="YES",1,0)</f>
        <v>0</v>
      </c>
      <c r="E50" s="29"/>
      <c r="F50" s="29"/>
      <c r="G50" s="29"/>
    </row>
    <row r="51" spans="2:7" ht="49.5" customHeight="1" thickBot="1" x14ac:dyDescent="0.35">
      <c r="B51" s="158" t="s">
        <v>70</v>
      </c>
      <c r="C51" s="29" t="s">
        <v>74</v>
      </c>
      <c r="D51" s="12">
        <f>IF(C51='Support sheet '!$E$25,2,IF(C51='Support sheet '!$E$26,1,IF(C51='Support sheet '!$E$27,0)))</f>
        <v>1</v>
      </c>
      <c r="E51" s="29"/>
      <c r="F51" s="29"/>
      <c r="G51" s="29"/>
    </row>
    <row r="52" spans="2:7" ht="45.75" customHeight="1" thickBot="1" x14ac:dyDescent="0.35">
      <c r="B52" s="158" t="s">
        <v>72</v>
      </c>
      <c r="C52" s="29" t="s">
        <v>73</v>
      </c>
      <c r="D52" s="12">
        <f>IF(C52='Support sheet '!$E$25,2,IF(C52='Support sheet '!$E$26,1,IF(C52='Support sheet '!$E$27,0)))</f>
        <v>2</v>
      </c>
      <c r="E52" s="29"/>
      <c r="F52" s="29"/>
      <c r="G52" s="29"/>
    </row>
    <row r="53" spans="2:7" ht="24.6" customHeight="1" x14ac:dyDescent="0.3">
      <c r="B53" s="219" t="s">
        <v>46</v>
      </c>
      <c r="C53" s="219"/>
      <c r="D53" s="18">
        <f>SUM(D50:D52)</f>
        <v>3</v>
      </c>
      <c r="E53" s="29"/>
      <c r="F53" s="29"/>
      <c r="G53" s="29"/>
    </row>
    <row r="54" spans="2:7" ht="24.6" customHeight="1" x14ac:dyDescent="0.3">
      <c r="B54" s="109"/>
      <c r="C54" s="109"/>
      <c r="D54" s="18"/>
      <c r="E54" s="29"/>
      <c r="F54" s="29"/>
      <c r="G54" s="29"/>
    </row>
    <row r="55" spans="2:7" ht="24.6" customHeight="1" x14ac:dyDescent="0.3">
      <c r="B55" s="120" t="s">
        <v>34</v>
      </c>
      <c r="C55" s="121" t="str">
        <f>'3-Hazard Assessment'!I14</f>
        <v>Chemical</v>
      </c>
      <c r="D55" s="108"/>
      <c r="E55" s="29"/>
      <c r="F55" s="29"/>
      <c r="G55" s="29"/>
    </row>
    <row r="56" spans="2:7" ht="34.950000000000003" customHeight="1" thickBot="1" x14ac:dyDescent="0.35">
      <c r="B56" s="101" t="s">
        <v>38</v>
      </c>
      <c r="C56" s="33" t="s">
        <v>67</v>
      </c>
      <c r="D56" s="14" t="s">
        <v>40</v>
      </c>
      <c r="E56" s="29"/>
      <c r="F56" s="29"/>
      <c r="G56" s="29"/>
    </row>
    <row r="57" spans="2:7" ht="52.2" customHeight="1" thickBot="1" x14ac:dyDescent="0.35">
      <c r="B57" s="160" t="s">
        <v>69</v>
      </c>
      <c r="C57" s="12" t="s">
        <v>49</v>
      </c>
      <c r="D57" s="12">
        <f>IF(C57="YES",1,0)</f>
        <v>1</v>
      </c>
      <c r="E57" s="29"/>
      <c r="F57" s="29"/>
      <c r="G57" s="29"/>
    </row>
    <row r="58" spans="2:7" ht="66.599999999999994" customHeight="1" thickBot="1" x14ac:dyDescent="0.35">
      <c r="B58" s="158" t="s">
        <v>70</v>
      </c>
      <c r="C58" s="29" t="s">
        <v>71</v>
      </c>
      <c r="D58" s="12">
        <f>IF(C58='Support sheet '!$E$25,2,IF(C58='Support sheet '!$E$26,1,IF(C58='Support sheet '!$E$27,0)))</f>
        <v>0</v>
      </c>
      <c r="E58" s="29"/>
      <c r="F58" s="29"/>
      <c r="G58" s="29"/>
    </row>
    <row r="59" spans="2:7" ht="44.7" customHeight="1" thickBot="1" x14ac:dyDescent="0.35">
      <c r="B59" s="158" t="s">
        <v>72</v>
      </c>
      <c r="C59" s="29" t="s">
        <v>74</v>
      </c>
      <c r="D59" s="12">
        <f>IF(C59='Support sheet '!$E$25,2,IF(C59='Support sheet '!$E$26,1,IF(C59='Support sheet '!$E$27,0)))</f>
        <v>1</v>
      </c>
      <c r="E59" s="29"/>
      <c r="F59" s="29"/>
      <c r="G59" s="29"/>
    </row>
    <row r="60" spans="2:7" ht="24.6" customHeight="1" x14ac:dyDescent="0.3">
      <c r="B60" s="219" t="s">
        <v>46</v>
      </c>
      <c r="C60" s="219"/>
      <c r="D60" s="18">
        <f>SUM(D57:D59)</f>
        <v>2</v>
      </c>
      <c r="E60" s="29"/>
      <c r="F60" s="29"/>
      <c r="G60" s="29"/>
    </row>
    <row r="61" spans="2:7" ht="24.6" customHeight="1" x14ac:dyDescent="0.3">
      <c r="B61" s="109"/>
      <c r="C61" s="109"/>
      <c r="D61" s="18"/>
      <c r="E61" s="29"/>
      <c r="F61" s="29"/>
      <c r="G61" s="29"/>
    </row>
    <row r="62" spans="2:7" ht="24.6" customHeight="1" x14ac:dyDescent="0.3">
      <c r="B62" s="120" t="s">
        <v>35</v>
      </c>
      <c r="C62" s="121" t="str">
        <f>'3-Hazard Assessment'!J14</f>
        <v>Radiological</v>
      </c>
      <c r="D62" s="29"/>
      <c r="E62" s="29"/>
      <c r="F62" s="29"/>
      <c r="G62" s="29"/>
    </row>
    <row r="63" spans="2:7" ht="34.5" customHeight="1" thickBot="1" x14ac:dyDescent="0.35">
      <c r="B63" s="101" t="s">
        <v>38</v>
      </c>
      <c r="C63" s="33" t="s">
        <v>67</v>
      </c>
      <c r="D63" s="14" t="s">
        <v>40</v>
      </c>
      <c r="E63" s="29"/>
      <c r="F63" s="29"/>
      <c r="G63" s="29"/>
    </row>
    <row r="64" spans="2:7" ht="51.6" customHeight="1" thickBot="1" x14ac:dyDescent="0.35">
      <c r="B64" s="160" t="s">
        <v>69</v>
      </c>
      <c r="C64" s="12" t="s">
        <v>49</v>
      </c>
      <c r="D64" s="12">
        <f>IF(C64="YES",1,0)</f>
        <v>1</v>
      </c>
      <c r="E64" s="29"/>
      <c r="F64" s="29"/>
      <c r="G64" s="29"/>
    </row>
    <row r="65" spans="2:12" ht="76.2" customHeight="1" thickBot="1" x14ac:dyDescent="0.35">
      <c r="B65" s="158" t="s">
        <v>70</v>
      </c>
      <c r="C65" s="29" t="s">
        <v>71</v>
      </c>
      <c r="D65" s="12">
        <f>IF(C65='Support sheet '!$E$25,2,IF(C65='Support sheet '!$E$26,1,IF(C65='Support sheet '!$E$27,0)))</f>
        <v>0</v>
      </c>
      <c r="E65" s="29"/>
      <c r="F65" s="29"/>
      <c r="G65" s="29"/>
    </row>
    <row r="66" spans="2:12" ht="40.950000000000003" customHeight="1" thickBot="1" x14ac:dyDescent="0.35">
      <c r="B66" s="158" t="s">
        <v>72</v>
      </c>
      <c r="C66" s="29" t="s">
        <v>73</v>
      </c>
      <c r="D66" s="12">
        <f>IF(C66='Support sheet '!$E$25,2,IF(C66='Support sheet '!$E$26,1,IF(C66='Support sheet '!$E$27,0)))</f>
        <v>2</v>
      </c>
      <c r="E66" s="29"/>
      <c r="F66" s="29"/>
      <c r="G66" s="29"/>
    </row>
    <row r="67" spans="2:12" ht="42.6" customHeight="1" x14ac:dyDescent="0.3">
      <c r="B67" s="219" t="s">
        <v>46</v>
      </c>
      <c r="C67" s="219"/>
      <c r="D67" s="18">
        <f ca="1">SUM(D64:D67)</f>
        <v>3</v>
      </c>
      <c r="E67" s="29"/>
      <c r="F67" s="29"/>
      <c r="G67" s="29"/>
    </row>
    <row r="68" spans="2:12" ht="24.6" customHeight="1" x14ac:dyDescent="0.3">
      <c r="E68" s="29"/>
      <c r="F68" s="29"/>
      <c r="G68" s="29"/>
    </row>
    <row r="69" spans="2:12" ht="24.6" customHeight="1" x14ac:dyDescent="0.3">
      <c r="B69" s="30"/>
      <c r="C69" s="29"/>
      <c r="D69" s="29"/>
      <c r="E69" s="29"/>
      <c r="F69" s="29"/>
      <c r="G69" s="29"/>
    </row>
    <row r="70" spans="2:12" ht="24.6" customHeight="1" x14ac:dyDescent="0.3">
      <c r="B70" s="120" t="s">
        <v>36</v>
      </c>
      <c r="C70" s="121" t="str">
        <f>'3-Hazard Assessment'!K14</f>
        <v>Physical</v>
      </c>
      <c r="D70" s="108"/>
      <c r="E70" s="29"/>
      <c r="F70" s="29"/>
      <c r="G70" s="29"/>
    </row>
    <row r="71" spans="2:12" ht="57" customHeight="1" thickBot="1" x14ac:dyDescent="0.35">
      <c r="B71" s="101" t="s">
        <v>38</v>
      </c>
      <c r="C71" s="33" t="s">
        <v>67</v>
      </c>
      <c r="D71" s="14" t="s">
        <v>40</v>
      </c>
      <c r="E71" s="29"/>
      <c r="F71" s="29"/>
      <c r="G71" s="29"/>
    </row>
    <row r="72" spans="2:12" ht="40.200000000000003" customHeight="1" thickBot="1" x14ac:dyDescent="0.35">
      <c r="B72" s="160" t="s">
        <v>69</v>
      </c>
      <c r="C72" s="12" t="s">
        <v>41</v>
      </c>
      <c r="D72" s="12">
        <f>IF(C72="YES",1,0)</f>
        <v>0</v>
      </c>
      <c r="E72" s="29"/>
      <c r="F72" s="29"/>
      <c r="G72" s="29"/>
    </row>
    <row r="73" spans="2:12" ht="40.950000000000003" customHeight="1" thickBot="1" x14ac:dyDescent="0.35">
      <c r="B73" s="158" t="s">
        <v>70</v>
      </c>
      <c r="C73" s="29" t="s">
        <v>73</v>
      </c>
      <c r="D73" s="12">
        <f>IF(C73='Support sheet '!$E$25,2,IF(C73='Support sheet '!$E$26,1,IF(C73='Support sheet '!$E$27,0)))</f>
        <v>2</v>
      </c>
      <c r="E73" s="29"/>
      <c r="F73" s="29"/>
      <c r="G73" s="29"/>
    </row>
    <row r="74" spans="2:12" ht="37.200000000000003" customHeight="1" thickBot="1" x14ac:dyDescent="0.35">
      <c r="B74" s="158" t="s">
        <v>72</v>
      </c>
      <c r="C74" s="29" t="s">
        <v>73</v>
      </c>
      <c r="D74" s="12">
        <f>IF(C74='Support sheet '!$E$25,2,IF(C74='Support sheet '!$E$26,1,IF(C74='Support sheet '!$E$27,0)))</f>
        <v>2</v>
      </c>
      <c r="E74" s="29"/>
      <c r="F74" s="29"/>
      <c r="G74" s="29"/>
    </row>
    <row r="75" spans="2:12" ht="24.6" customHeight="1" x14ac:dyDescent="0.3">
      <c r="B75" s="219" t="s">
        <v>46</v>
      </c>
      <c r="C75" s="219"/>
      <c r="D75" s="18">
        <f>SUM(D72:D74)</f>
        <v>4</v>
      </c>
      <c r="E75" s="29"/>
      <c r="F75" s="29"/>
      <c r="G75" s="29"/>
    </row>
    <row r="76" spans="2:12" ht="24.6" customHeight="1" x14ac:dyDescent="0.3">
      <c r="B76" s="30"/>
      <c r="C76" s="29"/>
      <c r="D76" s="29"/>
      <c r="E76" s="29"/>
      <c r="F76" s="29"/>
      <c r="G76" s="29"/>
    </row>
    <row r="77" spans="2:12" ht="24.6" customHeight="1" x14ac:dyDescent="0.3">
      <c r="B77" s="30"/>
      <c r="C77" s="29"/>
      <c r="D77" s="29"/>
      <c r="E77" s="29"/>
      <c r="F77" s="29"/>
      <c r="G77" s="29"/>
    </row>
    <row r="78" spans="2:12" ht="103.95" customHeight="1" thickBot="1" x14ac:dyDescent="0.35">
      <c r="B78" s="32" t="s">
        <v>75</v>
      </c>
      <c r="C78" s="105"/>
      <c r="D78" s="105"/>
      <c r="E78" s="105"/>
      <c r="F78" s="105"/>
      <c r="G78" s="105"/>
    </row>
    <row r="79" spans="2:12" ht="16.2" thickBot="1" x14ac:dyDescent="0.35">
      <c r="B79" s="159" t="s">
        <v>76</v>
      </c>
      <c r="C79" s="31" t="s">
        <v>56</v>
      </c>
      <c r="D79" s="31" t="s">
        <v>57</v>
      </c>
      <c r="E79" s="31" t="s">
        <v>58</v>
      </c>
      <c r="F79" s="31" t="s">
        <v>30</v>
      </c>
      <c r="G79" s="31" t="s">
        <v>59</v>
      </c>
      <c r="H79" s="31" t="s">
        <v>60</v>
      </c>
      <c r="I79" s="31" t="s">
        <v>61</v>
      </c>
      <c r="J79" s="31" t="s">
        <v>62</v>
      </c>
      <c r="K79" s="31" t="s">
        <v>63</v>
      </c>
      <c r="L79" s="31" t="s">
        <v>64</v>
      </c>
    </row>
    <row r="80" spans="2:12" ht="16.2" thickBot="1" x14ac:dyDescent="0.35">
      <c r="B80" s="155" t="s">
        <v>65</v>
      </c>
      <c r="C80" s="7" t="str">
        <f>'3-Hazard Assessment'!B14</f>
        <v>Dengue</v>
      </c>
      <c r="D80" s="7" t="str">
        <f>'3-Hazard Assessment'!C14</f>
        <v>Cholera</v>
      </c>
      <c r="E80" s="7" t="str">
        <f>'3-Hazard Assessment'!D14</f>
        <v>Malaria</v>
      </c>
      <c r="F80" s="7" t="str">
        <f>'3-Hazard Assessment'!E14</f>
        <v>VHF</v>
      </c>
      <c r="G80" s="7" t="str">
        <f>'3-Hazard Assessment'!F14</f>
        <v>Covid-19</v>
      </c>
      <c r="H80" s="7" t="str">
        <f>'3-Hazard Assessment'!G14</f>
        <v>Influenza</v>
      </c>
      <c r="I80" s="7" t="str">
        <f>'3-Hazard Assessment'!H14</f>
        <v>Mass Casualities</v>
      </c>
      <c r="J80" s="7" t="str">
        <f>'3-Hazard Assessment'!I14</f>
        <v>Chemical</v>
      </c>
      <c r="K80" s="7" t="str">
        <f>'3-Hazard Assessment'!J14</f>
        <v>Radiological</v>
      </c>
      <c r="L80" s="7" t="str">
        <f>'3-Hazard Assessment'!K14</f>
        <v>Physical</v>
      </c>
    </row>
    <row r="81" spans="2:12" ht="16.2" thickBot="1" x14ac:dyDescent="0.35">
      <c r="B81" s="155" t="s">
        <v>40</v>
      </c>
      <c r="C81" s="106">
        <f>D11</f>
        <v>3</v>
      </c>
      <c r="D81" s="107">
        <f>D18</f>
        <v>5</v>
      </c>
      <c r="E81" s="107">
        <f>D25</f>
        <v>2</v>
      </c>
      <c r="F81" s="107">
        <f>D32</f>
        <v>3</v>
      </c>
      <c r="G81" s="107">
        <f>D39</f>
        <v>2</v>
      </c>
      <c r="H81" s="107">
        <f>D46</f>
        <v>1</v>
      </c>
      <c r="I81" s="107">
        <f>D53</f>
        <v>3</v>
      </c>
      <c r="J81" s="107">
        <f>D60</f>
        <v>2</v>
      </c>
      <c r="K81" s="107">
        <f ca="1">D67</f>
        <v>3</v>
      </c>
      <c r="L81" s="107">
        <f>D75</f>
        <v>4</v>
      </c>
    </row>
    <row r="82" spans="2:12" ht="16.2" thickBot="1" x14ac:dyDescent="0.35">
      <c r="B82" s="155" t="s">
        <v>77</v>
      </c>
      <c r="C82" s="99" t="str">
        <f>IF(C81=1,'Support sheet '!$B$25,IF(C81=2,'Support sheet '!$B$26,IF(C81=3,'Support sheet '!$B$27,IF(C81=4,'Support sheet '!$B$28,IF(C81=5,'Support sheet '!$B$29)))))</f>
        <v>Moderate severity</v>
      </c>
      <c r="D82" s="99" t="str">
        <f>IF(D81=1,'Support sheet '!$B$25,IF(D81=2,'Support sheet '!$B$26,IF(D81=3,'Support sheet '!$B$27,IF(D81=4,'Support sheet '!$B$28,IF(D81=5,'Support sheet '!$B$29)))))</f>
        <v>Very high severity</v>
      </c>
      <c r="E82" s="99" t="str">
        <f>IF(E81=1,'Support sheet '!$B$25,IF(E81=2,'Support sheet '!$B$26,IF(E81=3,'Support sheet '!$B$27,IF(E81=4,'Support sheet '!$B$28,IF(E81=5,'Support sheet '!$B$29)))))</f>
        <v>Low severity</v>
      </c>
      <c r="F82" s="99" t="str">
        <f>IF(F81=1,'Support sheet '!$B$25,IF(F81=2,'Support sheet '!$B$26,IF(F81=3,'Support sheet '!$B$27,IF(F81=4,'Support sheet '!$B$28,IF(F81=5,'Support sheet '!$B$29)))))</f>
        <v>Moderate severity</v>
      </c>
      <c r="G82" s="99" t="str">
        <f>IF(G81=1,'Support sheet '!$B$25,IF(G81=2,'Support sheet '!$B$26,IF(G81=3,'Support sheet '!$B$27,IF(G81=4,'Support sheet '!$B$28,IF(G81=5,'Support sheet '!$B$29)))))</f>
        <v>Low severity</v>
      </c>
      <c r="H82" s="99" t="str">
        <f>IF(H81=1,'Support sheet '!$B$25,IF(H81=2,'Support sheet '!$B$26,IF(H81=3,'Support sheet '!$B$27,IF(H81=4,'Support sheet '!$B$28,IF(H81=5,'Support sheet '!$B$29)))))</f>
        <v>Very low severity</v>
      </c>
      <c r="I82" s="99" t="str">
        <f>IF(I81=1,'Support sheet '!$B$25,IF(I81=2,'Support sheet '!$B$26,IF(I81=3,'Support sheet '!$B$27,IF(I81=4,'Support sheet '!$B$28,IF(I81=5,'Support sheet '!$B$29)))))</f>
        <v>Moderate severity</v>
      </c>
      <c r="J82" s="99" t="str">
        <f>IF(J81=1,'Support sheet '!$B$25,IF(J81=2,'Support sheet '!$B$26,IF(J81=3,'Support sheet '!$B$27,IF(J81=4,'Support sheet '!$B$28,IF(J81=5,'Support sheet '!$B$29)))))</f>
        <v>Low severity</v>
      </c>
      <c r="K82" s="99" t="str">
        <f ca="1">IF(K81=1,'Support sheet '!$B$25,IF(K81=2,'Support sheet '!$B$26,IF(K81=3,'Support sheet '!$B$27,IF(K81=4,'Support sheet '!$B$28,IF(K81=5,'Support sheet '!$B$29)))))</f>
        <v>Moderate severity</v>
      </c>
      <c r="L82" s="99" t="str">
        <f>IF(L81=1,'Support sheet '!$B$25,IF(L81=2,'Support sheet '!$B$26,IF(L81=3,'Support sheet '!$B$27,IF(L81=4,'Support sheet '!$B$28,IF(L81=5,'Support sheet '!$B$29)))))</f>
        <v>High severity</v>
      </c>
    </row>
    <row r="86" spans="2:12" x14ac:dyDescent="0.3">
      <c r="B86" s="101" t="s">
        <v>38</v>
      </c>
    </row>
  </sheetData>
  <mergeCells count="11">
    <mergeCell ref="B4:G4"/>
    <mergeCell ref="B11:C11"/>
    <mergeCell ref="B18:C18"/>
    <mergeCell ref="B67:C67"/>
    <mergeCell ref="B75:C75"/>
    <mergeCell ref="B60:C60"/>
    <mergeCell ref="B25:C25"/>
    <mergeCell ref="B32:C32"/>
    <mergeCell ref="B39:C39"/>
    <mergeCell ref="B46:C46"/>
    <mergeCell ref="B53:C53"/>
  </mergeCells>
  <phoneticPr fontId="9" type="noConversion"/>
  <conditionalFormatting sqref="C81">
    <cfRule type="containsText" dxfId="302" priority="1" operator="containsText" text="Low">
      <formula>NOT(ISERROR(SEARCH("Low",C81)))</formula>
    </cfRule>
    <cfRule type="containsText" dxfId="301" priority="2" operator="containsText" text="Medium">
      <formula>NOT(ISERROR(SEARCH("Medium",C81)))</formula>
    </cfRule>
    <cfRule type="containsText" dxfId="300" priority="3" operator="containsText" text="High">
      <formula>NOT(ISERROR(SEARCH("High",C81)))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'Support sheet '!$E$16:$E$18</xm:f>
          </x14:formula1>
          <xm:sqref>C36 C8 C57 C64 C15 C22 C29 C50 C43 C72</xm:sqref>
        </x14:dataValidation>
        <x14:dataValidation type="list" allowBlank="1" showInputMessage="1" showErrorMessage="1">
          <x14:formula1>
            <xm:f>'Support sheet '!$E$25:$E$28</xm:f>
          </x14:formula1>
          <xm:sqref>C9:C10 C73:C74 C16:C17 C23:C24 C30:C31 C37:C38 C51:C52 C44:C45 C58:C59 C65:C66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0"/>
  <sheetViews>
    <sheetView tabSelected="1" topLeftCell="A61" zoomScale="96" zoomScaleNormal="96" workbookViewId="0">
      <selection activeCell="B65" sqref="B65:B72"/>
    </sheetView>
  </sheetViews>
  <sheetFormatPr defaultColWidth="11" defaultRowHeight="15.6" x14ac:dyDescent="0.3"/>
  <cols>
    <col min="1" max="1" width="3.69921875" customWidth="1"/>
    <col min="2" max="2" width="32.09765625" customWidth="1"/>
    <col min="3" max="3" width="86.19921875" customWidth="1"/>
    <col min="4" max="4" width="18.3984375" customWidth="1"/>
    <col min="5" max="5" width="18.5" customWidth="1"/>
    <col min="6" max="6" width="47.5" customWidth="1"/>
    <col min="7" max="7" width="46.19921875" customWidth="1"/>
    <col min="8" max="8" width="13.09765625" customWidth="1"/>
  </cols>
  <sheetData>
    <row r="1" spans="2:7" x14ac:dyDescent="0.3">
      <c r="G1" s="2"/>
    </row>
    <row r="2" spans="2:7" ht="16.2" thickBot="1" x14ac:dyDescent="0.35">
      <c r="G2" s="2"/>
    </row>
    <row r="3" spans="2:7" ht="270" customHeight="1" thickBot="1" x14ac:dyDescent="0.35">
      <c r="C3" s="191" t="s">
        <v>221</v>
      </c>
      <c r="D3" s="192"/>
      <c r="E3" s="192"/>
      <c r="F3" s="192"/>
      <c r="G3" s="193"/>
    </row>
    <row r="6" spans="2:7" ht="47.4" thickBot="1" x14ac:dyDescent="0.35">
      <c r="C6" s="161" t="s">
        <v>78</v>
      </c>
      <c r="D6" s="162" t="s">
        <v>79</v>
      </c>
      <c r="E6" s="162" t="s">
        <v>80</v>
      </c>
      <c r="F6" s="162" t="s">
        <v>81</v>
      </c>
    </row>
    <row r="7" spans="2:7" ht="45" customHeight="1" x14ac:dyDescent="0.3">
      <c r="B7" s="232" t="s">
        <v>230</v>
      </c>
      <c r="C7" s="150" t="s">
        <v>222</v>
      </c>
      <c r="D7" s="9" t="s">
        <v>83</v>
      </c>
      <c r="E7" s="8">
        <f>IF(D7='Support sheet '!$B$35,2,IF(D7='Support sheet '!$B$36,1,IF(D7='Support sheet '!$B$37,0)))</f>
        <v>2</v>
      </c>
      <c r="F7" s="96"/>
    </row>
    <row r="8" spans="2:7" ht="55.5" customHeight="1" thickBot="1" x14ac:dyDescent="0.35">
      <c r="B8" s="233"/>
      <c r="C8" s="146" t="s">
        <v>223</v>
      </c>
      <c r="D8" s="9" t="s">
        <v>173</v>
      </c>
      <c r="E8" s="8">
        <f>IF(D8='Support sheet '!$B$35,2,IF(D8='Support sheet '!$B$36,1,IF(D8='Support sheet '!$B$37,0)))</f>
        <v>1</v>
      </c>
      <c r="F8" s="96"/>
    </row>
    <row r="9" spans="2:7" ht="55.5" customHeight="1" thickBot="1" x14ac:dyDescent="0.35">
      <c r="B9" s="233"/>
      <c r="C9" s="15" t="s">
        <v>224</v>
      </c>
      <c r="D9" s="9" t="s">
        <v>173</v>
      </c>
      <c r="E9" s="8">
        <f>IF(D9='Support sheet '!$B$35,2,IF(D9='Support sheet '!$B$36,1,IF(D9='Support sheet '!$B$37,0)))</f>
        <v>1</v>
      </c>
      <c r="F9" s="96"/>
    </row>
    <row r="10" spans="2:7" ht="66" customHeight="1" thickBot="1" x14ac:dyDescent="0.35">
      <c r="B10" s="233"/>
      <c r="C10" s="159" t="s">
        <v>225</v>
      </c>
      <c r="D10" s="9" t="s">
        <v>82</v>
      </c>
      <c r="E10" s="8">
        <f>IF(D10='Support sheet '!$B$35,2,IF(D10='Support sheet '!$B$36,1,IF(D10='Support sheet '!$B$37,0)))</f>
        <v>0</v>
      </c>
      <c r="F10" s="96"/>
    </row>
    <row r="11" spans="2:7" ht="47.4" thickBot="1" x14ac:dyDescent="0.35">
      <c r="B11" s="233"/>
      <c r="C11" s="146" t="s">
        <v>226</v>
      </c>
      <c r="D11" s="9" t="s">
        <v>82</v>
      </c>
      <c r="E11" s="8">
        <f>IF(D11='Support sheet '!$B$35,2,IF(D11='Support sheet '!$B$36,1,IF(D11='Support sheet '!$B$37,0)))</f>
        <v>0</v>
      </c>
      <c r="F11" s="96"/>
    </row>
    <row r="12" spans="2:7" ht="73.5" customHeight="1" thickBot="1" x14ac:dyDescent="0.35">
      <c r="B12" s="233"/>
      <c r="C12" s="146" t="s">
        <v>227</v>
      </c>
      <c r="D12" s="9" t="s">
        <v>82</v>
      </c>
      <c r="E12" s="8">
        <f>IF(D12='Support sheet '!$B$35,2,IF(D12='Support sheet '!$B$36,1,IF(D12='Support sheet '!$B$37,0)))</f>
        <v>0</v>
      </c>
      <c r="F12" s="96"/>
    </row>
    <row r="13" spans="2:7" ht="63.75" customHeight="1" thickBot="1" x14ac:dyDescent="0.35">
      <c r="B13" s="233"/>
      <c r="C13" s="146" t="s">
        <v>228</v>
      </c>
      <c r="D13" s="9" t="s">
        <v>82</v>
      </c>
      <c r="E13" s="8">
        <f>IF(D13='Support sheet '!$B$35,2,IF(D13='Support sheet '!$B$36,1,IF(D13='Support sheet '!$B$37,0)))</f>
        <v>0</v>
      </c>
      <c r="F13" s="96"/>
    </row>
    <row r="14" spans="2:7" ht="57" customHeight="1" thickBot="1" x14ac:dyDescent="0.35">
      <c r="B14" s="234"/>
      <c r="C14" s="146" t="s">
        <v>229</v>
      </c>
      <c r="D14" s="9" t="s">
        <v>82</v>
      </c>
      <c r="E14" s="8">
        <f>IF(D14='Support sheet '!$B$35,2,IF(D14='Support sheet '!$B$36,1,IF(D14='Support sheet '!$B$37,0)))</f>
        <v>0</v>
      </c>
      <c r="F14" s="96"/>
    </row>
    <row r="15" spans="2:7" ht="62.25" customHeight="1" x14ac:dyDescent="0.3">
      <c r="B15" s="225" t="s">
        <v>244</v>
      </c>
      <c r="C15" s="163" t="s">
        <v>231</v>
      </c>
      <c r="D15" s="9" t="s">
        <v>83</v>
      </c>
      <c r="E15" s="8">
        <f>IF(D15='Support sheet '!$B$35,2,IF(D15='Support sheet '!$B$36,1,IF(D15='Support sheet '!$B$37,0)))</f>
        <v>2</v>
      </c>
      <c r="F15" s="96"/>
    </row>
    <row r="16" spans="2:7" ht="29.7" customHeight="1" thickBot="1" x14ac:dyDescent="0.35">
      <c r="B16" s="226"/>
      <c r="C16" s="164" t="s">
        <v>84</v>
      </c>
      <c r="D16" s="9" t="s">
        <v>82</v>
      </c>
      <c r="E16" s="8">
        <f>IF(D16='Support sheet '!$B$35,2,IF(D16='Support sheet '!$B$36,1,IF(D16='Support sheet '!$B$37,0)))</f>
        <v>0</v>
      </c>
      <c r="F16" s="96"/>
    </row>
    <row r="17" spans="2:6" ht="35.700000000000003" customHeight="1" thickBot="1" x14ac:dyDescent="0.35">
      <c r="B17" s="226"/>
      <c r="C17" s="164" t="s">
        <v>232</v>
      </c>
      <c r="D17" s="9" t="s">
        <v>82</v>
      </c>
      <c r="E17" s="8">
        <f>IF(D17='Support sheet '!$B$35,2,IF(D17='Support sheet '!$B$36,1,IF(D17='Support sheet '!$B$37,0)))</f>
        <v>0</v>
      </c>
      <c r="F17" s="96"/>
    </row>
    <row r="18" spans="2:6" ht="31.8" thickBot="1" x14ac:dyDescent="0.35">
      <c r="B18" s="226"/>
      <c r="C18" s="164" t="s">
        <v>233</v>
      </c>
      <c r="D18" s="9" t="s">
        <v>82</v>
      </c>
      <c r="E18" s="8">
        <f>IF(D18='Support sheet '!$B$35,2,IF(D18='Support sheet '!$B$36,1,IF(D18='Support sheet '!$B$37,0)))</f>
        <v>0</v>
      </c>
      <c r="F18" s="96"/>
    </row>
    <row r="19" spans="2:6" ht="47.4" thickBot="1" x14ac:dyDescent="0.35">
      <c r="B19" s="226"/>
      <c r="C19" s="164" t="s">
        <v>234</v>
      </c>
      <c r="D19" s="9" t="s">
        <v>83</v>
      </c>
      <c r="E19" s="8">
        <f>IF(D19='Support sheet '!$B$35,2,IF(D19='Support sheet '!$B$36,1,IF(D19='Support sheet '!$B$37,0)))</f>
        <v>2</v>
      </c>
      <c r="F19" s="96"/>
    </row>
    <row r="20" spans="2:6" ht="54.75" customHeight="1" thickBot="1" x14ac:dyDescent="0.35">
      <c r="B20" s="226"/>
      <c r="C20" s="164" t="s">
        <v>235</v>
      </c>
      <c r="D20" s="9" t="s">
        <v>82</v>
      </c>
      <c r="E20" s="8">
        <f>IF(D20='Support sheet '!$B$35,2,IF(D20='Support sheet '!$B$36,1,IF(D20='Support sheet '!$B$37,0)))</f>
        <v>0</v>
      </c>
      <c r="F20" s="96"/>
    </row>
    <row r="21" spans="2:6" ht="47.4" thickBot="1" x14ac:dyDescent="0.35">
      <c r="B21" s="226"/>
      <c r="C21" s="164" t="s">
        <v>236</v>
      </c>
      <c r="D21" s="9" t="s">
        <v>82</v>
      </c>
      <c r="E21" s="8">
        <f>IF(D21='Support sheet '!$B$35,2,IF(D21='Support sheet '!$B$36,1,IF(D21='Support sheet '!$B$37,0)))</f>
        <v>0</v>
      </c>
      <c r="F21" s="96"/>
    </row>
    <row r="22" spans="2:6" ht="35.25" customHeight="1" thickBot="1" x14ac:dyDescent="0.35">
      <c r="B22" s="226"/>
      <c r="C22" s="164" t="s">
        <v>237</v>
      </c>
      <c r="D22" s="9" t="s">
        <v>83</v>
      </c>
      <c r="E22" s="8">
        <f>IF(D22='Support sheet '!$B$35,2,IF(D22='Support sheet '!$B$36,1,IF(D22='Support sheet '!$B$37,0)))</f>
        <v>2</v>
      </c>
      <c r="F22" s="96"/>
    </row>
    <row r="23" spans="2:6" ht="31.8" thickBot="1" x14ac:dyDescent="0.35">
      <c r="B23" s="226"/>
      <c r="C23" s="164" t="s">
        <v>238</v>
      </c>
      <c r="D23" s="9" t="s">
        <v>83</v>
      </c>
      <c r="E23" s="8">
        <f>IF(D23='Support sheet '!$B$35,2,IF(D23='Support sheet '!$B$36,1,IF(D23='Support sheet '!$B$37,0)))</f>
        <v>2</v>
      </c>
      <c r="F23" s="96"/>
    </row>
    <row r="24" spans="2:6" ht="31.8" thickBot="1" x14ac:dyDescent="0.35">
      <c r="B24" s="226"/>
      <c r="C24" s="164" t="s">
        <v>239</v>
      </c>
      <c r="D24" s="9" t="s">
        <v>83</v>
      </c>
      <c r="E24" s="8">
        <f>IF(D24='Support sheet '!$B$35,2,IF(D24='Support sheet '!$B$36,1,IF(D24='Support sheet '!$B$37,0)))</f>
        <v>2</v>
      </c>
      <c r="F24" s="96"/>
    </row>
    <row r="25" spans="2:6" ht="35.25" customHeight="1" thickBot="1" x14ac:dyDescent="0.35">
      <c r="B25" s="226"/>
      <c r="C25" s="164" t="s">
        <v>240</v>
      </c>
      <c r="D25" s="9" t="s">
        <v>83</v>
      </c>
      <c r="E25" s="8">
        <f>IF(D25='Support sheet '!$B$35,2,IF(D25='Support sheet '!$B$36,1,IF(D25='Support sheet '!$B$37,0)))</f>
        <v>2</v>
      </c>
      <c r="F25" s="96"/>
    </row>
    <row r="26" spans="2:6" ht="69" customHeight="1" thickBot="1" x14ac:dyDescent="0.35">
      <c r="B26" s="226"/>
      <c r="C26" s="164" t="s">
        <v>242</v>
      </c>
      <c r="D26" s="9" t="s">
        <v>82</v>
      </c>
      <c r="E26" s="8">
        <f>IF(D26='Support sheet '!$B$35,2,IF(D26='Support sheet '!$B$36,1,IF(D26='Support sheet '!$B$37,0)))</f>
        <v>0</v>
      </c>
      <c r="F26" s="96"/>
    </row>
    <row r="27" spans="2:6" ht="41.7" customHeight="1" thickBot="1" x14ac:dyDescent="0.35">
      <c r="B27" s="226"/>
      <c r="C27" s="164" t="s">
        <v>241</v>
      </c>
      <c r="D27" s="9" t="s">
        <v>83</v>
      </c>
      <c r="E27" s="8">
        <f>IF(D27='Support sheet '!$B$35,2,IF(D27='Support sheet '!$B$36,1,IF(D27='Support sheet '!$B$37,0)))</f>
        <v>2</v>
      </c>
      <c r="F27" s="96"/>
    </row>
    <row r="28" spans="2:6" ht="63" thickBot="1" x14ac:dyDescent="0.35">
      <c r="B28" s="227"/>
      <c r="C28" s="166" t="s">
        <v>243</v>
      </c>
      <c r="D28" s="9" t="s">
        <v>82</v>
      </c>
      <c r="E28" s="8">
        <f>IF(D28='Support sheet '!$B$35,2,IF(D28='Support sheet '!$B$36,1,IF(D28='Support sheet '!$B$37,0)))</f>
        <v>0</v>
      </c>
      <c r="F28" s="96"/>
    </row>
    <row r="29" spans="2:6" ht="97.5" customHeight="1" thickBot="1" x14ac:dyDescent="0.35">
      <c r="B29" s="235" t="s">
        <v>249</v>
      </c>
      <c r="C29" s="168" t="s">
        <v>245</v>
      </c>
      <c r="D29" s="165" t="s">
        <v>82</v>
      </c>
      <c r="E29" s="8">
        <f>IF(D29='Support sheet '!$B$35,2,IF(D29='Support sheet '!$B$36,1,IF(D29='Support sheet '!$B$37,0)))</f>
        <v>0</v>
      </c>
      <c r="F29" s="96"/>
    </row>
    <row r="30" spans="2:6" ht="76.5" customHeight="1" x14ac:dyDescent="0.3">
      <c r="B30" s="238"/>
      <c r="C30" s="167" t="s">
        <v>246</v>
      </c>
      <c r="D30" s="9" t="s">
        <v>82</v>
      </c>
      <c r="E30" s="8">
        <f>IF(D30='Support sheet '!$B$35,2,IF(D30='Support sheet '!$B$36,1,IF(D30='Support sheet '!$B$37,0)))</f>
        <v>0</v>
      </c>
      <c r="F30" s="96"/>
    </row>
    <row r="31" spans="2:6" ht="69.599999999999994" customHeight="1" x14ac:dyDescent="0.3">
      <c r="B31" s="238"/>
      <c r="C31" s="13" t="s">
        <v>247</v>
      </c>
      <c r="D31" s="9" t="s">
        <v>82</v>
      </c>
      <c r="E31" s="8">
        <f>IF(D31='Support sheet '!$B$35,2,IF(D31='Support sheet '!$B$36,1,IF(D31='Support sheet '!$B$37,0)))</f>
        <v>0</v>
      </c>
      <c r="F31" s="96"/>
    </row>
    <row r="32" spans="2:6" ht="69" customHeight="1" thickBot="1" x14ac:dyDescent="0.35">
      <c r="B32" s="239"/>
      <c r="C32" s="13" t="s">
        <v>248</v>
      </c>
      <c r="D32" s="9" t="s">
        <v>82</v>
      </c>
      <c r="E32" s="8">
        <f>IF(D32='Support sheet '!$B$35,2,IF(D32='Support sheet '!$B$36,1,IF(D32='Support sheet '!$B$37,0)))</f>
        <v>0</v>
      </c>
      <c r="F32" s="96"/>
    </row>
    <row r="33" spans="2:6" ht="46.8" x14ac:dyDescent="0.3">
      <c r="B33" s="222" t="s">
        <v>299</v>
      </c>
      <c r="C33" s="15" t="s">
        <v>288</v>
      </c>
      <c r="D33" s="9" t="s">
        <v>83</v>
      </c>
      <c r="E33" s="8">
        <f>IF(D33='Support sheet '!$B$35,2,IF(D33='Support sheet '!$B$36,1,IF(D33='Support sheet '!$B$37,0)))</f>
        <v>2</v>
      </c>
      <c r="F33" s="96"/>
    </row>
    <row r="34" spans="2:6" x14ac:dyDescent="0.3">
      <c r="B34" s="223"/>
      <c r="C34" s="15" t="s">
        <v>289</v>
      </c>
      <c r="D34" s="9" t="s">
        <v>82</v>
      </c>
      <c r="E34" s="8">
        <f>IF(D34='Support sheet '!$B$35,2,IF(D34='Support sheet '!$B$36,1,IF(D34='Support sheet '!$B$37,0)))</f>
        <v>0</v>
      </c>
      <c r="F34" s="96"/>
    </row>
    <row r="35" spans="2:6" ht="31.2" x14ac:dyDescent="0.3">
      <c r="B35" s="223"/>
      <c r="C35" s="15" t="s">
        <v>290</v>
      </c>
      <c r="D35" s="9" t="s">
        <v>83</v>
      </c>
      <c r="E35" s="8">
        <f>IF(D35='Support sheet '!$B$35,2,IF(D35='Support sheet '!$B$36,1,IF(D35='Support sheet '!$B$37,0)))</f>
        <v>2</v>
      </c>
      <c r="F35" s="96"/>
    </row>
    <row r="36" spans="2:6" x14ac:dyDescent="0.3">
      <c r="B36" s="223"/>
      <c r="C36" s="15" t="s">
        <v>291</v>
      </c>
      <c r="D36" s="9" t="s">
        <v>82</v>
      </c>
      <c r="E36" s="8">
        <f>IF(D36='Support sheet '!$B$35,2,IF(D36='Support sheet '!$B$36,1,IF(D36='Support sheet '!$B$37,0)))</f>
        <v>0</v>
      </c>
      <c r="F36" s="96"/>
    </row>
    <row r="37" spans="2:6" ht="78" customHeight="1" x14ac:dyDescent="0.3">
      <c r="B37" s="223"/>
      <c r="C37" s="15" t="s">
        <v>292</v>
      </c>
      <c r="D37" s="9" t="s">
        <v>83</v>
      </c>
      <c r="E37" s="8">
        <f>IF(D37='Support sheet '!$B$35,2,IF(D37='Support sheet '!$B$36,1,IF(D37='Support sheet '!$B$37,0)))</f>
        <v>2</v>
      </c>
      <c r="F37" s="96"/>
    </row>
    <row r="38" spans="2:6" ht="48.75" customHeight="1" thickBot="1" x14ac:dyDescent="0.35">
      <c r="B38" s="224"/>
      <c r="C38" s="15" t="s">
        <v>293</v>
      </c>
      <c r="D38" s="9" t="s">
        <v>83</v>
      </c>
      <c r="E38" s="8">
        <f>IF(D38='Support sheet '!$B$35,2,IF(D38='Support sheet '!$B$36,1,IF(D38='Support sheet '!$B$37,0)))</f>
        <v>2</v>
      </c>
      <c r="F38" s="96"/>
    </row>
    <row r="39" spans="2:6" ht="46.8" x14ac:dyDescent="0.3">
      <c r="B39" s="235" t="s">
        <v>358</v>
      </c>
      <c r="C39" s="15" t="s">
        <v>294</v>
      </c>
      <c r="D39" s="9" t="s">
        <v>83</v>
      </c>
      <c r="E39" s="8">
        <f>IF(D39='Support sheet '!$B$35,2,IF(D39='Support sheet '!$B$36,1,IF(D39='Support sheet '!$B$37,0)))</f>
        <v>2</v>
      </c>
      <c r="F39" s="96"/>
    </row>
    <row r="40" spans="2:6" ht="31.95" customHeight="1" x14ac:dyDescent="0.3">
      <c r="B40" s="236"/>
      <c r="C40" s="15" t="s">
        <v>295</v>
      </c>
      <c r="D40" s="9" t="s">
        <v>83</v>
      </c>
      <c r="E40" s="8">
        <f>IF(D40='Support sheet '!$B$35,2,IF(D40='Support sheet '!$B$36,1,IF(D40='Support sheet '!$B$37,0)))</f>
        <v>2</v>
      </c>
      <c r="F40" s="96"/>
    </row>
    <row r="41" spans="2:6" ht="39.75" customHeight="1" thickBot="1" x14ac:dyDescent="0.35">
      <c r="B41" s="237"/>
      <c r="C41" s="15" t="s">
        <v>296</v>
      </c>
      <c r="D41" s="9" t="s">
        <v>82</v>
      </c>
      <c r="E41" s="8">
        <f>IF(D41='Support sheet '!$B$35,2,IF(D41='Support sheet '!$B$36,1,IF(D41='Support sheet '!$B$37,0)))</f>
        <v>0</v>
      </c>
      <c r="F41" s="96"/>
    </row>
    <row r="42" spans="2:6" ht="31.2" x14ac:dyDescent="0.3">
      <c r="B42" s="220" t="s">
        <v>300</v>
      </c>
      <c r="C42" s="15" t="s">
        <v>297</v>
      </c>
      <c r="D42" s="9" t="s">
        <v>83</v>
      </c>
      <c r="E42" s="8">
        <f>IF(D42='Support sheet '!$B$35,2,IF(D42='Support sheet '!$B$36,1,IF(D42='Support sheet '!$B$37,0)))</f>
        <v>2</v>
      </c>
      <c r="F42" s="96"/>
    </row>
    <row r="43" spans="2:6" ht="31.8" thickBot="1" x14ac:dyDescent="0.35">
      <c r="B43" s="228"/>
      <c r="C43" s="15" t="s">
        <v>298</v>
      </c>
      <c r="D43" s="9" t="s">
        <v>83</v>
      </c>
      <c r="E43" s="8">
        <f>IF(D43='Support sheet '!$B$35,2,IF(D43='Support sheet '!$B$36,1,IF(D43='Support sheet '!$B$37,0)))</f>
        <v>2</v>
      </c>
      <c r="F43" s="96"/>
    </row>
    <row r="44" spans="2:6" ht="33" customHeight="1" x14ac:dyDescent="0.3">
      <c r="B44" s="220" t="s">
        <v>287</v>
      </c>
      <c r="C44" s="13" t="s">
        <v>280</v>
      </c>
      <c r="D44" s="9" t="s">
        <v>82</v>
      </c>
      <c r="E44" s="8">
        <f>IF(D44='Support sheet '!$B$35,2,IF(D44='Support sheet '!$B$36,1,IF(D44='Support sheet '!$B$37,0)))</f>
        <v>0</v>
      </c>
      <c r="F44" s="96"/>
    </row>
    <row r="45" spans="2:6" ht="58.5" customHeight="1" x14ac:dyDescent="0.3">
      <c r="B45" s="221"/>
      <c r="C45" s="181" t="s">
        <v>281</v>
      </c>
      <c r="D45" s="9" t="s">
        <v>82</v>
      </c>
      <c r="E45" s="8">
        <f>IF(D45='Support sheet '!$B$35,2,IF(D45='Support sheet '!$B$36,1,IF(D45='Support sheet '!$B$37,0)))</f>
        <v>0</v>
      </c>
      <c r="F45" s="96"/>
    </row>
    <row r="46" spans="2:6" ht="36" customHeight="1" x14ac:dyDescent="0.3">
      <c r="B46" s="221"/>
      <c r="C46" s="181" t="s">
        <v>282</v>
      </c>
      <c r="D46" s="9" t="s">
        <v>82</v>
      </c>
      <c r="E46" s="8">
        <f>IF(D46='Support sheet '!$B$35,2,IF(D46='Support sheet '!$B$36,1,IF(D46='Support sheet '!$B$37,0)))</f>
        <v>0</v>
      </c>
      <c r="F46" s="96"/>
    </row>
    <row r="47" spans="2:6" ht="41.25" customHeight="1" x14ac:dyDescent="0.3">
      <c r="B47" s="221"/>
      <c r="C47" s="181" t="s">
        <v>283</v>
      </c>
      <c r="D47" s="9" t="s">
        <v>83</v>
      </c>
      <c r="E47" s="8">
        <f>IF(D47='Support sheet '!$B$35,2,IF(D47='Support sheet '!$B$36,1,IF(D47='Support sheet '!$B$37,0)))</f>
        <v>2</v>
      </c>
      <c r="F47" s="96"/>
    </row>
    <row r="48" spans="2:6" ht="22.95" customHeight="1" x14ac:dyDescent="0.3">
      <c r="B48" s="221"/>
      <c r="C48" s="181" t="s">
        <v>284</v>
      </c>
      <c r="D48" s="9" t="s">
        <v>83</v>
      </c>
      <c r="E48" s="8">
        <f>IF(D48='Support sheet '!$B$35,2,IF(D48='Support sheet '!$B$36,1,IF(D48='Support sheet '!$B$37,0)))</f>
        <v>2</v>
      </c>
      <c r="F48" s="96"/>
    </row>
    <row r="49" spans="2:7" ht="37.200000000000003" customHeight="1" x14ac:dyDescent="0.3">
      <c r="B49" s="221"/>
      <c r="C49" s="181" t="s">
        <v>285</v>
      </c>
      <c r="D49" s="9" t="s">
        <v>82</v>
      </c>
      <c r="E49" s="8"/>
      <c r="F49" s="96"/>
    </row>
    <row r="50" spans="2:7" ht="38.25" customHeight="1" thickBot="1" x14ac:dyDescent="0.35">
      <c r="B50" s="228"/>
      <c r="C50" s="181" t="s">
        <v>286</v>
      </c>
      <c r="D50" s="9" t="s">
        <v>173</v>
      </c>
      <c r="E50" s="8">
        <f>IF(D50='Support sheet '!$B$35,2,IF(D50='Support sheet '!$B$36,1,IF(D50='Support sheet '!$B$37,0)))</f>
        <v>1</v>
      </c>
      <c r="F50" s="96"/>
    </row>
    <row r="51" spans="2:7" ht="62.4" x14ac:dyDescent="0.3">
      <c r="B51" s="220" t="s">
        <v>359</v>
      </c>
      <c r="C51" s="182" t="s">
        <v>277</v>
      </c>
      <c r="D51" s="9" t="s">
        <v>82</v>
      </c>
      <c r="E51" s="8">
        <f>IF(D51='Support sheet '!$B$35,2,IF(D51='Support sheet '!$B$36,1,IF(D51='Support sheet '!$B$37,0)))</f>
        <v>0</v>
      </c>
      <c r="F51" s="96"/>
    </row>
    <row r="52" spans="2:7" ht="76.5" customHeight="1" x14ac:dyDescent="0.3">
      <c r="B52" s="221"/>
      <c r="C52" s="15" t="s">
        <v>278</v>
      </c>
      <c r="D52" s="9" t="s">
        <v>82</v>
      </c>
      <c r="E52" s="8">
        <f>IF(D52='Support sheet '!$B$35,2,IF(D52='Support sheet '!$B$36,1,IF(D52='Support sheet '!$B$37,0)))</f>
        <v>0</v>
      </c>
      <c r="F52" s="96"/>
    </row>
    <row r="53" spans="2:7" ht="47.4" thickBot="1" x14ac:dyDescent="0.35">
      <c r="B53" s="221"/>
      <c r="C53" s="15" t="s">
        <v>279</v>
      </c>
      <c r="D53" s="9" t="s">
        <v>82</v>
      </c>
      <c r="E53" s="8">
        <f>IF(D53='Support sheet '!$B$35,2,IF(D53='Support sheet '!$B$36,1,IF(D53='Support sheet '!$B$37,0)))</f>
        <v>0</v>
      </c>
      <c r="F53" s="96"/>
    </row>
    <row r="54" spans="2:7" ht="109.95" customHeight="1" x14ac:dyDescent="0.3">
      <c r="B54" s="222" t="s">
        <v>360</v>
      </c>
      <c r="C54" s="13" t="s">
        <v>274</v>
      </c>
      <c r="D54" s="9" t="s">
        <v>82</v>
      </c>
      <c r="E54" s="8">
        <f>IF(D54='Support sheet '!$B$35,2,IF(D54='Support sheet '!$B$36,1,IF(D54='Support sheet '!$B$37,0)))</f>
        <v>0</v>
      </c>
      <c r="F54" s="96"/>
      <c r="G54" s="127"/>
    </row>
    <row r="55" spans="2:7" ht="54.6" customHeight="1" x14ac:dyDescent="0.3">
      <c r="B55" s="223"/>
      <c r="C55" s="40" t="s">
        <v>275</v>
      </c>
      <c r="D55" s="9" t="s">
        <v>83</v>
      </c>
      <c r="E55" s="8">
        <f>IF(D55='Support sheet '!$B$35,2,IF(D55='Support sheet '!$B$36,1,IF(D55='Support sheet '!$B$37,0)))</f>
        <v>2</v>
      </c>
      <c r="F55" s="96"/>
      <c r="G55" s="127"/>
    </row>
    <row r="56" spans="2:7" ht="78.599999999999994" thickBot="1" x14ac:dyDescent="0.35">
      <c r="B56" s="224"/>
      <c r="C56" s="183" t="s">
        <v>276</v>
      </c>
      <c r="D56" s="9" t="s">
        <v>82</v>
      </c>
      <c r="E56" s="8">
        <f>IF(D56='Support sheet '!$B$35,2,IF(D56='Support sheet '!$B$36,1,IF(D56='Support sheet '!$B$37,0)))</f>
        <v>0</v>
      </c>
      <c r="F56" s="96"/>
      <c r="G56" s="127"/>
    </row>
    <row r="57" spans="2:7" ht="31.2" x14ac:dyDescent="0.3">
      <c r="B57" s="225" t="s">
        <v>268</v>
      </c>
      <c r="C57" s="184" t="s">
        <v>269</v>
      </c>
      <c r="D57" s="9" t="s">
        <v>83</v>
      </c>
      <c r="E57" s="8">
        <f>IF(D57='Support sheet '!$B$35,2,IF(D57='Support sheet '!$B$36,1,IF(D57='Support sheet '!$B$37,0)))</f>
        <v>2</v>
      </c>
      <c r="F57" s="96"/>
    </row>
    <row r="58" spans="2:7" ht="48.75" customHeight="1" x14ac:dyDescent="0.3">
      <c r="B58" s="226"/>
      <c r="C58" s="184" t="s">
        <v>270</v>
      </c>
      <c r="D58" s="9" t="s">
        <v>83</v>
      </c>
      <c r="E58" s="8">
        <f>IF(D58='Support sheet '!$B$35,2,IF(D58='Support sheet '!$B$36,1,IF(D58='Support sheet '!$B$37,0)))</f>
        <v>2</v>
      </c>
      <c r="F58" s="96"/>
    </row>
    <row r="59" spans="2:7" ht="34.5" customHeight="1" x14ac:dyDescent="0.3">
      <c r="B59" s="226"/>
      <c r="C59" s="184" t="s">
        <v>271</v>
      </c>
      <c r="D59" s="9" t="s">
        <v>82</v>
      </c>
      <c r="E59" s="8">
        <f>IF(D59='Support sheet '!$B$35,2,IF(D59='Support sheet '!$B$36,1,IF(D59='Support sheet '!$B$37,0)))</f>
        <v>0</v>
      </c>
      <c r="F59" s="96"/>
    </row>
    <row r="60" spans="2:7" ht="34.5" customHeight="1" x14ac:dyDescent="0.3">
      <c r="B60" s="226"/>
      <c r="C60" s="184" t="s">
        <v>272</v>
      </c>
      <c r="D60" s="9" t="s">
        <v>82</v>
      </c>
      <c r="E60" s="8">
        <f>IF(D60='Support sheet '!$B$35,2,IF(D60='Support sheet '!$B$36,1,IF(D60='Support sheet '!$B$37,0)))</f>
        <v>0</v>
      </c>
      <c r="F60" s="96"/>
    </row>
    <row r="61" spans="2:7" ht="31.8" thickBot="1" x14ac:dyDescent="0.35">
      <c r="B61" s="227"/>
      <c r="C61" s="184" t="s">
        <v>273</v>
      </c>
      <c r="D61" s="9" t="s">
        <v>82</v>
      </c>
      <c r="E61" s="8">
        <f>IF(D61='Support sheet '!$B$35,2,IF(D61='Support sheet '!$B$36,1,IF(D61='Support sheet '!$B$37,0)))</f>
        <v>0</v>
      </c>
      <c r="F61" s="96"/>
    </row>
    <row r="62" spans="2:7" ht="69" customHeight="1" x14ac:dyDescent="0.3">
      <c r="B62" s="240" t="s">
        <v>267</v>
      </c>
      <c r="C62" s="185" t="s">
        <v>264</v>
      </c>
      <c r="D62" s="9" t="s">
        <v>82</v>
      </c>
      <c r="E62" s="8">
        <f>IF(D62='Support sheet '!$B$35,2,IF(D62='Support sheet '!$B$36,1,IF(D62='Support sheet '!$B$37,0)))</f>
        <v>0</v>
      </c>
      <c r="F62" s="96"/>
    </row>
    <row r="63" spans="2:7" ht="49.5" customHeight="1" x14ac:dyDescent="0.3">
      <c r="B63" s="241"/>
      <c r="C63" s="185" t="s">
        <v>265</v>
      </c>
      <c r="D63" s="9" t="s">
        <v>173</v>
      </c>
      <c r="E63" s="8">
        <f>IF(D63='Support sheet '!$B$35,2,IF(D63='Support sheet '!$B$36,1,IF(D63='Support sheet '!$B$37,0)))</f>
        <v>1</v>
      </c>
      <c r="F63" s="96"/>
    </row>
    <row r="64" spans="2:7" ht="78.599999999999994" thickBot="1" x14ac:dyDescent="0.35">
      <c r="B64" s="242"/>
      <c r="C64" s="186" t="s">
        <v>266</v>
      </c>
      <c r="D64" s="9" t="s">
        <v>82</v>
      </c>
      <c r="E64" s="8">
        <f>IF(D64='Support sheet '!$B$35,2,IF(D64='Support sheet '!$B$36,1,IF(D64='Support sheet '!$B$37,0)))</f>
        <v>0</v>
      </c>
      <c r="F64" s="96"/>
    </row>
    <row r="65" spans="2:6" ht="62.25" customHeight="1" x14ac:dyDescent="0.3">
      <c r="B65" s="260" t="s">
        <v>85</v>
      </c>
      <c r="C65" s="13" t="s">
        <v>86</v>
      </c>
      <c r="D65" s="9" t="s">
        <v>82</v>
      </c>
      <c r="E65" s="8">
        <f>IF(D65='Support sheet '!$B$35,2,IF(D65='Support sheet '!$B$36,1,IF(D65='Support sheet '!$B$37,0)))</f>
        <v>0</v>
      </c>
      <c r="F65" s="96"/>
    </row>
    <row r="66" spans="2:6" ht="31.2" x14ac:dyDescent="0.3">
      <c r="B66" s="261"/>
      <c r="C66" s="13" t="s">
        <v>87</v>
      </c>
      <c r="D66" s="9" t="s">
        <v>83</v>
      </c>
      <c r="E66" s="8">
        <f>IF(D66='Support sheet '!$B$35,2,IF(D66='Support sheet '!$B$36,1,IF(D66='Support sheet '!$B$37,0)))</f>
        <v>2</v>
      </c>
      <c r="F66" s="96"/>
    </row>
    <row r="67" spans="2:6" ht="31.2" x14ac:dyDescent="0.3">
      <c r="B67" s="261"/>
      <c r="C67" s="13" t="s">
        <v>88</v>
      </c>
      <c r="D67" s="9" t="s">
        <v>83</v>
      </c>
      <c r="E67" s="8">
        <f>IF(D67='Support sheet '!$B$35,2,IF(D67='Support sheet '!$B$36,1,IF(D67='Support sheet '!$B$37,0)))</f>
        <v>2</v>
      </c>
      <c r="F67" s="96"/>
    </row>
    <row r="68" spans="2:6" ht="31.2" x14ac:dyDescent="0.3">
      <c r="B68" s="261"/>
      <c r="C68" s="13" t="s">
        <v>89</v>
      </c>
      <c r="D68" s="9" t="s">
        <v>83</v>
      </c>
      <c r="E68" s="8">
        <f>IF(D68='Support sheet '!$B$35,2,IF(D68='Support sheet '!$B$36,1,IF(D68='Support sheet '!$B$37,0)))</f>
        <v>2</v>
      </c>
      <c r="F68" s="96"/>
    </row>
    <row r="69" spans="2:6" ht="31.2" x14ac:dyDescent="0.3">
      <c r="B69" s="261"/>
      <c r="C69" s="13" t="s">
        <v>90</v>
      </c>
      <c r="D69" s="9" t="s">
        <v>83</v>
      </c>
      <c r="E69" s="8">
        <f>IF(D69='Support sheet '!$B$35,2,IF(D69='Support sheet '!$B$36,1,IF(D69='Support sheet '!$B$37,0)))</f>
        <v>2</v>
      </c>
      <c r="F69" s="96"/>
    </row>
    <row r="70" spans="2:6" ht="31.2" x14ac:dyDescent="0.3">
      <c r="B70" s="261"/>
      <c r="C70" s="13" t="s">
        <v>91</v>
      </c>
      <c r="D70" s="9" t="s">
        <v>82</v>
      </c>
      <c r="E70" s="8">
        <f>IF(D70='Support sheet '!$B$35,2,IF(D70='Support sheet '!$B$36,1,IF(D70='Support sheet '!$B$37,0)))</f>
        <v>0</v>
      </c>
      <c r="F70" s="96"/>
    </row>
    <row r="71" spans="2:6" ht="31.2" customHeight="1" x14ac:dyDescent="0.3">
      <c r="B71" s="261"/>
      <c r="C71" s="13" t="s">
        <v>92</v>
      </c>
      <c r="D71" s="9" t="s">
        <v>83</v>
      </c>
      <c r="E71" s="8">
        <f>IF(D71='Support sheet '!$B$35,2,IF(D71='Support sheet '!$B$36,1,IF(D71='Support sheet '!$B$37,0)))</f>
        <v>2</v>
      </c>
      <c r="F71" s="96"/>
    </row>
    <row r="72" spans="2:6" ht="31.8" thickBot="1" x14ac:dyDescent="0.35">
      <c r="B72" s="262"/>
      <c r="C72" s="13" t="s">
        <v>93</v>
      </c>
      <c r="D72" s="9" t="s">
        <v>83</v>
      </c>
      <c r="E72" s="8">
        <f>IF(D72='Support sheet '!$B$35,2,IF(D72='Support sheet '!$B$36,1,IF(D72='Support sheet '!$B$37,0)))</f>
        <v>2</v>
      </c>
      <c r="F72" s="96"/>
    </row>
    <row r="73" spans="2:6" ht="31.2" x14ac:dyDescent="0.3">
      <c r="B73" s="222" t="s">
        <v>256</v>
      </c>
      <c r="C73" s="15" t="s">
        <v>257</v>
      </c>
      <c r="D73" s="9" t="s">
        <v>83</v>
      </c>
      <c r="E73" s="8">
        <f>IF(D73='Support sheet '!$B$35,2,IF(D73='Support sheet '!$B$36,1,IF(D73='Support sheet '!$B$37,0)))</f>
        <v>2</v>
      </c>
      <c r="F73" s="96"/>
    </row>
    <row r="74" spans="2:6" ht="46.8" x14ac:dyDescent="0.3">
      <c r="B74" s="223"/>
      <c r="C74" s="15" t="s">
        <v>258</v>
      </c>
      <c r="D74" s="9" t="s">
        <v>83</v>
      </c>
      <c r="E74" s="8">
        <f>IF(D74='Support sheet '!$B$35,2,IF(D74='Support sheet '!$B$36,1,IF(D74='Support sheet '!$B$37,0)))</f>
        <v>2</v>
      </c>
      <c r="F74" s="96"/>
    </row>
    <row r="75" spans="2:6" ht="31.2" x14ac:dyDescent="0.3">
      <c r="B75" s="223"/>
      <c r="C75" s="15" t="s">
        <v>259</v>
      </c>
      <c r="D75" s="9" t="s">
        <v>83</v>
      </c>
      <c r="E75" s="8">
        <f>IF(D75='Support sheet '!$B$35,2,IF(D75='Support sheet '!$B$36,1,IF(D75='Support sheet '!$B$37,0)))</f>
        <v>2</v>
      </c>
      <c r="F75" s="96"/>
    </row>
    <row r="76" spans="2:6" ht="62.4" x14ac:dyDescent="0.3">
      <c r="B76" s="223"/>
      <c r="C76" s="15" t="s">
        <v>260</v>
      </c>
      <c r="D76" s="9" t="s">
        <v>83</v>
      </c>
      <c r="E76" s="8">
        <f>IF(D76='Support sheet '!$B$35,2,IF(D76='Support sheet '!$B$36,1,IF(D76='Support sheet '!$B$37,0)))</f>
        <v>2</v>
      </c>
      <c r="F76" s="96"/>
    </row>
    <row r="77" spans="2:6" ht="46.8" x14ac:dyDescent="0.3">
      <c r="B77" s="223"/>
      <c r="C77" s="15" t="s">
        <v>261</v>
      </c>
      <c r="D77" s="9" t="s">
        <v>83</v>
      </c>
      <c r="E77" s="8">
        <f>IF(D77='Support sheet '!$B$35,2,IF(D77='Support sheet '!$B$36,1,IF(D77='Support sheet '!$B$37,0)))</f>
        <v>2</v>
      </c>
      <c r="F77" s="96"/>
    </row>
    <row r="78" spans="2:6" ht="46.8" x14ac:dyDescent="0.3">
      <c r="B78" s="223"/>
      <c r="C78" s="16" t="s">
        <v>262</v>
      </c>
      <c r="D78" s="9" t="s">
        <v>82</v>
      </c>
      <c r="E78" s="8">
        <f>IF(D78='Support sheet '!$B$35,2,IF(D78='Support sheet '!$B$36,1,IF(D78='Support sheet '!$B$37,0)))</f>
        <v>0</v>
      </c>
      <c r="F78" s="97"/>
    </row>
    <row r="79" spans="2:6" ht="63" thickBot="1" x14ac:dyDescent="0.35">
      <c r="B79" s="223"/>
      <c r="C79" s="16" t="s">
        <v>263</v>
      </c>
      <c r="D79" s="9" t="s">
        <v>83</v>
      </c>
      <c r="E79" s="128">
        <f>IF(D79='Support sheet '!$B$35,2,IF(D79='Support sheet '!$B$36,1,IF(D79='Support sheet '!$B$37,0)))</f>
        <v>2</v>
      </c>
      <c r="F79" s="97"/>
    </row>
    <row r="80" spans="2:6" ht="52.5" customHeight="1" x14ac:dyDescent="0.3">
      <c r="B80" s="229" t="s">
        <v>255</v>
      </c>
      <c r="C80" s="187" t="s">
        <v>250</v>
      </c>
      <c r="D80" s="9" t="s">
        <v>83</v>
      </c>
      <c r="E80" s="128">
        <f>IF(D80='Support sheet '!$B$35,2,IF(D80='Support sheet '!$B$36,1,IF(D80='Support sheet '!$B$37,0)))</f>
        <v>2</v>
      </c>
      <c r="F80" s="96"/>
    </row>
    <row r="81" spans="2:6" ht="39.75" customHeight="1" x14ac:dyDescent="0.3">
      <c r="B81" s="230"/>
      <c r="C81" s="129" t="s">
        <v>251</v>
      </c>
      <c r="D81" s="9" t="s">
        <v>83</v>
      </c>
      <c r="E81" s="128">
        <f>IF(D81='Support sheet '!$B$35,2,IF(D81='Support sheet '!$B$36,1,IF(D81='Support sheet '!$B$37,0)))</f>
        <v>2</v>
      </c>
      <c r="F81" s="96"/>
    </row>
    <row r="82" spans="2:6" ht="22.95" customHeight="1" x14ac:dyDescent="0.3">
      <c r="B82" s="230"/>
      <c r="C82" s="129" t="s">
        <v>252</v>
      </c>
      <c r="D82" s="9" t="s">
        <v>83</v>
      </c>
      <c r="E82" s="128">
        <f>IF(D82='Support sheet '!$B$35,2,IF(D82='Support sheet '!$B$36,1,IF(D82='Support sheet '!$B$37,0)))</f>
        <v>2</v>
      </c>
      <c r="F82" s="96"/>
    </row>
    <row r="83" spans="2:6" ht="22.2" customHeight="1" x14ac:dyDescent="0.3">
      <c r="B83" s="230"/>
      <c r="C83" s="129" t="s">
        <v>253</v>
      </c>
      <c r="D83" s="9" t="s">
        <v>82</v>
      </c>
      <c r="E83" s="128">
        <f>IF(D83='Support sheet '!$B$35,2,IF(D83='Support sheet '!$B$36,1,IF(D83='Support sheet '!$B$37,0)))</f>
        <v>0</v>
      </c>
      <c r="F83" s="96"/>
    </row>
    <row r="84" spans="2:6" ht="39" customHeight="1" thickBot="1" x14ac:dyDescent="0.35">
      <c r="B84" s="231"/>
      <c r="C84" s="129" t="s">
        <v>254</v>
      </c>
      <c r="D84" s="9" t="s">
        <v>83</v>
      </c>
      <c r="E84" s="8">
        <f>IF(D84='Support sheet '!$B$35,2,IF(D84='Support sheet '!$B$36,1,IF(D84='Support sheet '!$B$37,0)))</f>
        <v>2</v>
      </c>
      <c r="F84" s="96"/>
    </row>
    <row r="85" spans="2:6" x14ac:dyDescent="0.3">
      <c r="B85" s="126"/>
      <c r="C85" s="127"/>
      <c r="D85" s="127"/>
      <c r="E85" s="127"/>
      <c r="F85" s="115"/>
    </row>
    <row r="86" spans="2:6" ht="16.2" thickBot="1" x14ac:dyDescent="0.35">
      <c r="B86" s="126"/>
      <c r="C86" s="127"/>
      <c r="E86" s="3"/>
      <c r="F86" s="115"/>
    </row>
    <row r="87" spans="2:6" ht="33.6" customHeight="1" thickBot="1" x14ac:dyDescent="0.6">
      <c r="C87" s="122" t="s">
        <v>94</v>
      </c>
      <c r="D87" s="123"/>
      <c r="E87" s="189">
        <f>SUM(E7:E84)</f>
        <v>78</v>
      </c>
      <c r="F87" s="89"/>
    </row>
    <row r="88" spans="2:6" ht="16.2" thickBot="1" x14ac:dyDescent="0.35"/>
    <row r="89" spans="2:6" x14ac:dyDescent="0.3">
      <c r="D89" s="60"/>
      <c r="E89" s="61" t="s">
        <v>95</v>
      </c>
      <c r="F89" s="62" t="s">
        <v>96</v>
      </c>
    </row>
    <row r="90" spans="2:6" x14ac:dyDescent="0.3">
      <c r="D90" s="91">
        <v>1</v>
      </c>
      <c r="E90" s="9" t="s">
        <v>97</v>
      </c>
      <c r="F90" s="69" t="s">
        <v>98</v>
      </c>
    </row>
    <row r="91" spans="2:6" x14ac:dyDescent="0.3">
      <c r="D91" s="91">
        <v>2</v>
      </c>
      <c r="E91" s="9" t="s">
        <v>73</v>
      </c>
      <c r="F91" s="69" t="s">
        <v>99</v>
      </c>
    </row>
    <row r="92" spans="2:6" x14ac:dyDescent="0.3">
      <c r="D92" s="91">
        <v>3</v>
      </c>
      <c r="E92" s="9" t="s">
        <v>100</v>
      </c>
      <c r="F92" s="69" t="s">
        <v>101</v>
      </c>
    </row>
    <row r="93" spans="2:6" x14ac:dyDescent="0.3">
      <c r="D93" s="91">
        <v>4</v>
      </c>
      <c r="E93" s="9" t="s">
        <v>102</v>
      </c>
      <c r="F93" s="69" t="s">
        <v>103</v>
      </c>
    </row>
    <row r="94" spans="2:6" ht="16.2" thickBot="1" x14ac:dyDescent="0.35">
      <c r="D94" s="25">
        <v>5</v>
      </c>
      <c r="E94" s="26" t="s">
        <v>104</v>
      </c>
      <c r="F94" s="27" t="s">
        <v>105</v>
      </c>
    </row>
    <row r="95" spans="2:6" ht="16.2" thickBot="1" x14ac:dyDescent="0.35"/>
    <row r="96" spans="2:6" x14ac:dyDescent="0.3">
      <c r="D96" s="53" t="s">
        <v>106</v>
      </c>
      <c r="E96" s="92" t="str">
        <f>IF(E87&gt;125,"1",IF(E87&gt;93,"2",IF(E87&gt;62,"3",IF(E87&gt;32,"4",IF(E87&gt;0,"5")))))</f>
        <v>3</v>
      </c>
    </row>
    <row r="97" spans="2:5" ht="16.2" thickBot="1" x14ac:dyDescent="0.35">
      <c r="D97" s="88" t="s">
        <v>107</v>
      </c>
      <c r="E97" s="93" t="str">
        <f>IF(E96="1","Very High",IF(E96="2","High",IF(E96="3","Partial",IF(E96="4","Low",IF(E96="5","Very Low")))))</f>
        <v>Partial</v>
      </c>
    </row>
    <row r="99" spans="2:5" x14ac:dyDescent="0.3">
      <c r="B99" s="35"/>
    </row>
    <row r="100" spans="2:5" x14ac:dyDescent="0.3">
      <c r="B100" s="35"/>
    </row>
  </sheetData>
  <mergeCells count="15">
    <mergeCell ref="B80:B84"/>
    <mergeCell ref="B73:B79"/>
    <mergeCell ref="B44:B50"/>
    <mergeCell ref="B7:B14"/>
    <mergeCell ref="B15:B28"/>
    <mergeCell ref="B33:B38"/>
    <mergeCell ref="B39:B41"/>
    <mergeCell ref="B42:B43"/>
    <mergeCell ref="B29:B32"/>
    <mergeCell ref="B62:B64"/>
    <mergeCell ref="C3:G3"/>
    <mergeCell ref="B51:B53"/>
    <mergeCell ref="B54:B56"/>
    <mergeCell ref="B57:B61"/>
    <mergeCell ref="B65:B72"/>
  </mergeCells>
  <phoneticPr fontId="9"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'Support sheet '!$B$35:$B$37</xm:f>
          </x14:formula1>
          <xm:sqref>D86 D7:D84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77"/>
  <sheetViews>
    <sheetView topLeftCell="A88" zoomScale="85" zoomScaleNormal="85" workbookViewId="0">
      <selection activeCell="D95" sqref="D95"/>
    </sheetView>
  </sheetViews>
  <sheetFormatPr defaultColWidth="11" defaultRowHeight="15.6" x14ac:dyDescent="0.3"/>
  <cols>
    <col min="2" max="2" width="3.09765625" customWidth="1"/>
    <col min="3" max="3" width="53.19921875" customWidth="1"/>
    <col min="4" max="4" width="20.09765625" customWidth="1"/>
    <col min="5" max="5" width="21.59765625" customWidth="1"/>
    <col min="6" max="6" width="21.19921875" customWidth="1"/>
    <col min="7" max="7" width="20.09765625" customWidth="1"/>
    <col min="8" max="8" width="19.69921875" customWidth="1"/>
    <col min="9" max="9" width="15.19921875" customWidth="1"/>
    <col min="10" max="10" width="14" customWidth="1"/>
    <col min="11" max="11" width="13.19921875" customWidth="1"/>
    <col min="12" max="12" width="14" customWidth="1"/>
    <col min="13" max="13" width="14.19921875" customWidth="1"/>
  </cols>
  <sheetData>
    <row r="3" spans="3:9" ht="16.2" thickBot="1" x14ac:dyDescent="0.35">
      <c r="C3" s="1"/>
      <c r="I3" s="6"/>
    </row>
    <row r="4" spans="3:9" ht="64.95" customHeight="1" thickBot="1" x14ac:dyDescent="0.35">
      <c r="C4" s="200" t="s">
        <v>301</v>
      </c>
      <c r="D4" s="201"/>
      <c r="E4" s="201"/>
      <c r="F4" s="201"/>
      <c r="G4" s="201"/>
      <c r="H4" s="202"/>
    </row>
    <row r="5" spans="3:9" ht="25.5" customHeight="1" thickBot="1" x14ac:dyDescent="0.35">
      <c r="C5" s="203" t="s">
        <v>302</v>
      </c>
      <c r="D5" s="204"/>
      <c r="E5" s="204"/>
      <c r="F5" s="204"/>
      <c r="G5" s="204"/>
      <c r="H5" s="205"/>
    </row>
    <row r="6" spans="3:9" ht="28.5" customHeight="1" x14ac:dyDescent="0.3">
      <c r="C6" s="206" t="s">
        <v>303</v>
      </c>
      <c r="D6" s="207"/>
      <c r="E6" s="207"/>
      <c r="F6" s="207"/>
      <c r="G6" s="207"/>
      <c r="H6" s="208"/>
    </row>
    <row r="7" spans="3:9" ht="309.60000000000002" customHeight="1" x14ac:dyDescent="0.3">
      <c r="C7" s="209"/>
      <c r="D7" s="210"/>
      <c r="E7" s="210"/>
      <c r="F7" s="210"/>
      <c r="G7" s="210"/>
      <c r="H7" s="211"/>
    </row>
    <row r="8" spans="3:9" ht="25.2" customHeight="1" x14ac:dyDescent="0.3">
      <c r="C8" s="19"/>
      <c r="D8" s="20"/>
      <c r="E8" s="20"/>
      <c r="F8" s="20"/>
      <c r="G8" s="20"/>
      <c r="H8" s="21"/>
    </row>
    <row r="9" spans="3:9" ht="25.2" customHeight="1" x14ac:dyDescent="0.3">
      <c r="C9" s="100" t="s">
        <v>27</v>
      </c>
      <c r="D9" s="28" t="str">
        <f>'3-Hazard Assessment'!B14</f>
        <v>Dengue</v>
      </c>
      <c r="F9" s="20"/>
      <c r="G9" s="20"/>
      <c r="H9" s="21"/>
    </row>
    <row r="10" spans="3:9" ht="25.2" customHeight="1" thickBot="1" x14ac:dyDescent="0.35">
      <c r="C10" s="101" t="s">
        <v>38</v>
      </c>
      <c r="D10" s="12" t="s">
        <v>39</v>
      </c>
      <c r="E10" s="14" t="s">
        <v>40</v>
      </c>
      <c r="F10" s="20"/>
      <c r="G10" s="20"/>
      <c r="H10" s="21"/>
    </row>
    <row r="11" spans="3:9" ht="75" customHeight="1" thickBot="1" x14ac:dyDescent="0.35">
      <c r="C11" s="150" t="s">
        <v>304</v>
      </c>
      <c r="D11" s="12" t="s">
        <v>49</v>
      </c>
      <c r="E11" s="12">
        <f>IF(D11="YES",1,0)</f>
        <v>1</v>
      </c>
      <c r="F11" s="20"/>
      <c r="G11" s="20"/>
      <c r="H11" s="21"/>
    </row>
    <row r="12" spans="3:9" ht="30" customHeight="1" thickBot="1" x14ac:dyDescent="0.35">
      <c r="C12" s="159" t="s">
        <v>305</v>
      </c>
      <c r="D12" s="12" t="s">
        <v>41</v>
      </c>
      <c r="E12" s="12">
        <f t="shared" ref="E12:E15" si="0">IF(D12="YES",1,0)</f>
        <v>0</v>
      </c>
      <c r="F12" s="20"/>
      <c r="G12" s="20"/>
    </row>
    <row r="13" spans="3:9" ht="49.2" customHeight="1" thickBot="1" x14ac:dyDescent="0.35">
      <c r="C13" s="146" t="s">
        <v>306</v>
      </c>
      <c r="D13" s="12" t="s">
        <v>49</v>
      </c>
      <c r="E13" s="12">
        <f t="shared" si="0"/>
        <v>1</v>
      </c>
      <c r="F13" s="20"/>
      <c r="G13" s="20"/>
    </row>
    <row r="14" spans="3:9" ht="94.5" customHeight="1" thickBot="1" x14ac:dyDescent="0.35">
      <c r="C14" s="158" t="s">
        <v>307</v>
      </c>
      <c r="D14" s="12" t="s">
        <v>41</v>
      </c>
      <c r="E14" s="12">
        <f t="shared" si="0"/>
        <v>0</v>
      </c>
      <c r="F14" s="20"/>
      <c r="G14" s="20"/>
      <c r="H14" s="21"/>
    </row>
    <row r="15" spans="3:9" ht="88.5" customHeight="1" thickBot="1" x14ac:dyDescent="0.35">
      <c r="C15" s="158" t="s">
        <v>308</v>
      </c>
      <c r="D15" s="12" t="s">
        <v>41</v>
      </c>
      <c r="E15" s="12">
        <f t="shared" si="0"/>
        <v>0</v>
      </c>
      <c r="F15" s="20"/>
      <c r="G15" s="20"/>
      <c r="H15" s="21"/>
    </row>
    <row r="16" spans="3:9" ht="25.2" customHeight="1" x14ac:dyDescent="0.3">
      <c r="C16" s="212" t="s">
        <v>46</v>
      </c>
      <c r="D16" s="213"/>
      <c r="E16" s="18">
        <f>SUM(E11:E15)</f>
        <v>2</v>
      </c>
      <c r="F16" s="20"/>
      <c r="G16" s="20"/>
      <c r="H16" s="21"/>
    </row>
    <row r="17" spans="3:8" ht="25.2" customHeight="1" x14ac:dyDescent="0.3">
      <c r="C17" s="19"/>
      <c r="D17" s="20"/>
      <c r="E17" s="20"/>
      <c r="F17" s="20"/>
      <c r="G17" s="20"/>
      <c r="H17" s="21"/>
    </row>
    <row r="18" spans="3:8" ht="25.2" customHeight="1" x14ac:dyDescent="0.3">
      <c r="C18" s="100" t="s">
        <v>28</v>
      </c>
      <c r="D18" s="18" t="str">
        <f>'3-Hazard Assessment'!C14</f>
        <v>Cholera</v>
      </c>
      <c r="F18" s="20"/>
      <c r="G18" s="20"/>
      <c r="H18" s="21"/>
    </row>
    <row r="19" spans="3:8" ht="25.2" customHeight="1" thickBot="1" x14ac:dyDescent="0.35">
      <c r="C19" s="101" t="s">
        <v>38</v>
      </c>
      <c r="D19" s="12" t="s">
        <v>39</v>
      </c>
      <c r="E19" s="14" t="s">
        <v>40</v>
      </c>
      <c r="F19" s="20"/>
      <c r="G19" s="20"/>
      <c r="H19" s="21"/>
    </row>
    <row r="20" spans="3:8" ht="58.5" customHeight="1" thickBot="1" x14ac:dyDescent="0.35">
      <c r="C20" s="150" t="s">
        <v>108</v>
      </c>
      <c r="D20" s="12" t="s">
        <v>49</v>
      </c>
      <c r="E20" s="12">
        <f>IF(D20="YES",1,0)</f>
        <v>1</v>
      </c>
      <c r="F20" s="20"/>
      <c r="G20" s="20"/>
      <c r="H20" s="21"/>
    </row>
    <row r="21" spans="3:8" ht="25.2" customHeight="1" thickBot="1" x14ac:dyDescent="0.35">
      <c r="C21" s="159" t="s">
        <v>109</v>
      </c>
      <c r="D21" s="12" t="s">
        <v>49</v>
      </c>
      <c r="E21" s="12">
        <f t="shared" ref="E21:E24" si="1">IF(D21="YES",1,0)</f>
        <v>1</v>
      </c>
      <c r="F21" s="20"/>
      <c r="G21" s="20"/>
      <c r="H21" s="21"/>
    </row>
    <row r="22" spans="3:8" ht="25.2" customHeight="1" thickBot="1" x14ac:dyDescent="0.35">
      <c r="C22" s="146" t="s">
        <v>110</v>
      </c>
      <c r="D22" s="12" t="s">
        <v>49</v>
      </c>
      <c r="E22" s="12">
        <f t="shared" si="1"/>
        <v>1</v>
      </c>
      <c r="F22" s="20"/>
      <c r="G22" s="20"/>
      <c r="H22" s="21"/>
    </row>
    <row r="23" spans="3:8" ht="25.2" customHeight="1" thickBot="1" x14ac:dyDescent="0.35">
      <c r="C23" s="158" t="s">
        <v>111</v>
      </c>
      <c r="D23" s="12" t="s">
        <v>49</v>
      </c>
      <c r="E23" s="12">
        <f t="shared" si="1"/>
        <v>1</v>
      </c>
      <c r="F23" s="20"/>
      <c r="G23" s="20"/>
      <c r="H23" s="21"/>
    </row>
    <row r="24" spans="3:8" ht="25.2" customHeight="1" thickBot="1" x14ac:dyDescent="0.35">
      <c r="C24" s="158" t="s">
        <v>112</v>
      </c>
      <c r="D24" s="12" t="s">
        <v>49</v>
      </c>
      <c r="E24" s="12">
        <f t="shared" si="1"/>
        <v>1</v>
      </c>
      <c r="F24" s="20"/>
      <c r="G24" s="20"/>
      <c r="H24" s="21"/>
    </row>
    <row r="25" spans="3:8" ht="25.2" customHeight="1" x14ac:dyDescent="0.3">
      <c r="C25" s="212" t="s">
        <v>46</v>
      </c>
      <c r="D25" s="213"/>
      <c r="E25" s="18">
        <f>SUM(E20:E24)</f>
        <v>5</v>
      </c>
      <c r="F25" s="20"/>
      <c r="G25" s="20"/>
      <c r="H25" s="21"/>
    </row>
    <row r="26" spans="3:8" ht="25.2" customHeight="1" x14ac:dyDescent="0.3">
      <c r="C26" s="19"/>
      <c r="D26" s="20"/>
      <c r="E26" s="20"/>
      <c r="F26" s="20"/>
      <c r="G26" s="20"/>
      <c r="H26" s="21"/>
    </row>
    <row r="27" spans="3:8" ht="25.2" customHeight="1" x14ac:dyDescent="0.3">
      <c r="C27" s="100" t="s">
        <v>29</v>
      </c>
      <c r="D27" s="18" t="str">
        <f>'3-Hazard Assessment'!D14</f>
        <v>Malaria</v>
      </c>
      <c r="F27" s="20"/>
      <c r="G27" s="20"/>
      <c r="H27" s="21"/>
    </row>
    <row r="28" spans="3:8" ht="25.2" customHeight="1" thickBot="1" x14ac:dyDescent="0.35">
      <c r="C28" s="101" t="s">
        <v>38</v>
      </c>
      <c r="D28" s="12" t="s">
        <v>39</v>
      </c>
      <c r="E28" s="14" t="s">
        <v>40</v>
      </c>
      <c r="F28" s="20"/>
      <c r="G28" s="20"/>
      <c r="H28" s="21"/>
    </row>
    <row r="29" spans="3:8" ht="25.2" customHeight="1" thickBot="1" x14ac:dyDescent="0.35">
      <c r="C29" s="150" t="s">
        <v>108</v>
      </c>
      <c r="D29" s="12" t="s">
        <v>49</v>
      </c>
      <c r="E29" s="12">
        <f>IF(D29="YES",1,0)</f>
        <v>1</v>
      </c>
      <c r="F29" s="20"/>
      <c r="G29" s="20"/>
      <c r="H29" s="21"/>
    </row>
    <row r="30" spans="3:8" ht="25.2" customHeight="1" thickBot="1" x14ac:dyDescent="0.35">
      <c r="C30" s="159" t="s">
        <v>109</v>
      </c>
      <c r="D30" s="12" t="s">
        <v>49</v>
      </c>
      <c r="E30" s="12">
        <f t="shared" ref="E30:E33" si="2">IF(D30="YES",1,0)</f>
        <v>1</v>
      </c>
      <c r="F30" s="20"/>
      <c r="G30" s="20"/>
      <c r="H30" s="21"/>
    </row>
    <row r="31" spans="3:8" ht="25.2" customHeight="1" thickBot="1" x14ac:dyDescent="0.35">
      <c r="C31" s="146" t="s">
        <v>110</v>
      </c>
      <c r="D31" s="12" t="s">
        <v>41</v>
      </c>
      <c r="E31" s="12">
        <f t="shared" si="2"/>
        <v>0</v>
      </c>
      <c r="F31" s="20"/>
      <c r="G31" s="20"/>
      <c r="H31" s="21"/>
    </row>
    <row r="32" spans="3:8" ht="25.2" customHeight="1" thickBot="1" x14ac:dyDescent="0.35">
      <c r="C32" s="158" t="s">
        <v>111</v>
      </c>
      <c r="D32" s="12" t="s">
        <v>41</v>
      </c>
      <c r="E32" s="12">
        <f t="shared" si="2"/>
        <v>0</v>
      </c>
      <c r="F32" s="20"/>
      <c r="G32" s="20"/>
      <c r="H32" s="21"/>
    </row>
    <row r="33" spans="3:8" ht="25.2" customHeight="1" thickBot="1" x14ac:dyDescent="0.35">
      <c r="C33" s="158" t="s">
        <v>112</v>
      </c>
      <c r="D33" s="12" t="s">
        <v>41</v>
      </c>
      <c r="E33" s="12">
        <f t="shared" si="2"/>
        <v>0</v>
      </c>
      <c r="F33" s="20"/>
      <c r="G33" s="20"/>
      <c r="H33" s="21"/>
    </row>
    <row r="34" spans="3:8" ht="25.2" customHeight="1" x14ac:dyDescent="0.3">
      <c r="C34" s="212" t="s">
        <v>46</v>
      </c>
      <c r="D34" s="213"/>
      <c r="E34" s="18">
        <f>SUM(E29:E33)</f>
        <v>2</v>
      </c>
      <c r="F34" s="20"/>
      <c r="G34" s="20"/>
      <c r="H34" s="21"/>
    </row>
    <row r="35" spans="3:8" ht="25.2" customHeight="1" x14ac:dyDescent="0.3">
      <c r="C35" s="19"/>
      <c r="D35" s="20"/>
      <c r="E35" s="20"/>
      <c r="F35" s="20"/>
      <c r="G35" s="20"/>
      <c r="H35" s="21"/>
    </row>
    <row r="36" spans="3:8" ht="25.2" customHeight="1" x14ac:dyDescent="0.3">
      <c r="C36" s="100" t="s">
        <v>30</v>
      </c>
      <c r="D36" s="18" t="str">
        <f>'3-Hazard Assessment'!E14</f>
        <v>VHF</v>
      </c>
      <c r="F36" s="20"/>
      <c r="G36" s="20"/>
      <c r="H36" s="21"/>
    </row>
    <row r="37" spans="3:8" ht="25.2" customHeight="1" thickBot="1" x14ac:dyDescent="0.35">
      <c r="C37" s="101" t="s">
        <v>38</v>
      </c>
      <c r="D37" s="12" t="s">
        <v>39</v>
      </c>
      <c r="E37" s="14" t="s">
        <v>40</v>
      </c>
      <c r="F37" s="20"/>
      <c r="G37" s="20"/>
      <c r="H37" s="21"/>
    </row>
    <row r="38" spans="3:8" ht="25.2" customHeight="1" thickBot="1" x14ac:dyDescent="0.35">
      <c r="C38" s="150" t="s">
        <v>108</v>
      </c>
      <c r="D38" s="12" t="s">
        <v>49</v>
      </c>
      <c r="E38" s="12">
        <f>IF(D38="YES",1,0)</f>
        <v>1</v>
      </c>
      <c r="F38" s="20"/>
      <c r="G38" s="20"/>
      <c r="H38" s="21"/>
    </row>
    <row r="39" spans="3:8" ht="25.2" customHeight="1" thickBot="1" x14ac:dyDescent="0.35">
      <c r="C39" s="159" t="s">
        <v>109</v>
      </c>
      <c r="D39" s="12" t="s">
        <v>49</v>
      </c>
      <c r="E39" s="12">
        <f t="shared" ref="E39:E42" si="3">IF(D39="YES",1,0)</f>
        <v>1</v>
      </c>
      <c r="F39" s="20"/>
      <c r="G39" s="20"/>
      <c r="H39" s="21"/>
    </row>
    <row r="40" spans="3:8" ht="25.2" customHeight="1" thickBot="1" x14ac:dyDescent="0.35">
      <c r="C40" s="146" t="s">
        <v>110</v>
      </c>
      <c r="D40" s="12" t="s">
        <v>41</v>
      </c>
      <c r="E40" s="12">
        <f t="shared" si="3"/>
        <v>0</v>
      </c>
      <c r="F40" s="20"/>
      <c r="G40" s="20"/>
      <c r="H40" s="21"/>
    </row>
    <row r="41" spans="3:8" ht="25.2" customHeight="1" thickBot="1" x14ac:dyDescent="0.35">
      <c r="C41" s="158" t="s">
        <v>111</v>
      </c>
      <c r="D41" s="12" t="s">
        <v>41</v>
      </c>
      <c r="E41" s="12">
        <f t="shared" si="3"/>
        <v>0</v>
      </c>
      <c r="F41" s="20"/>
      <c r="G41" s="20"/>
      <c r="H41" s="21"/>
    </row>
    <row r="42" spans="3:8" ht="25.2" customHeight="1" thickBot="1" x14ac:dyDescent="0.35">
      <c r="C42" s="158" t="s">
        <v>112</v>
      </c>
      <c r="D42" s="12" t="s">
        <v>41</v>
      </c>
      <c r="E42" s="12">
        <f t="shared" si="3"/>
        <v>0</v>
      </c>
      <c r="F42" s="20"/>
      <c r="G42" s="20"/>
      <c r="H42" s="21"/>
    </row>
    <row r="43" spans="3:8" ht="25.2" customHeight="1" x14ac:dyDescent="0.3">
      <c r="C43" s="212" t="s">
        <v>46</v>
      </c>
      <c r="D43" s="213"/>
      <c r="E43" s="18">
        <f>SUM(E38:E42)</f>
        <v>2</v>
      </c>
      <c r="F43" s="20"/>
      <c r="G43" s="20"/>
      <c r="H43" s="21"/>
    </row>
    <row r="44" spans="3:8" ht="25.2" customHeight="1" x14ac:dyDescent="0.3">
      <c r="C44" s="19"/>
      <c r="D44" s="20"/>
      <c r="E44" s="20"/>
      <c r="F44" s="20"/>
      <c r="G44" s="20"/>
      <c r="H44" s="21"/>
    </row>
    <row r="45" spans="3:8" ht="25.2" customHeight="1" x14ac:dyDescent="0.3">
      <c r="C45" s="100" t="s">
        <v>31</v>
      </c>
      <c r="D45" s="18" t="str">
        <f>'3-Hazard Assessment'!F14</f>
        <v>Covid-19</v>
      </c>
      <c r="F45" s="20"/>
      <c r="G45" s="20"/>
      <c r="H45" s="21"/>
    </row>
    <row r="46" spans="3:8" ht="25.2" customHeight="1" thickBot="1" x14ac:dyDescent="0.35">
      <c r="C46" s="101" t="s">
        <v>38</v>
      </c>
      <c r="D46" s="12" t="s">
        <v>39</v>
      </c>
      <c r="E46" s="14" t="s">
        <v>40</v>
      </c>
      <c r="F46" s="20"/>
      <c r="G46" s="20"/>
      <c r="H46" s="21"/>
    </row>
    <row r="47" spans="3:8" ht="25.2" customHeight="1" thickBot="1" x14ac:dyDescent="0.35">
      <c r="C47" s="150" t="s">
        <v>108</v>
      </c>
      <c r="D47" s="12" t="s">
        <v>49</v>
      </c>
      <c r="E47" s="12">
        <f>IF(D47="YES",1,0)</f>
        <v>1</v>
      </c>
      <c r="F47" s="20"/>
      <c r="G47" s="20"/>
      <c r="H47" s="21"/>
    </row>
    <row r="48" spans="3:8" ht="25.2" customHeight="1" thickBot="1" x14ac:dyDescent="0.35">
      <c r="C48" s="159" t="s">
        <v>109</v>
      </c>
      <c r="D48" s="12" t="s">
        <v>49</v>
      </c>
      <c r="E48" s="12">
        <f t="shared" ref="E48:E51" si="4">IF(D48="YES",1,0)</f>
        <v>1</v>
      </c>
      <c r="F48" s="20"/>
      <c r="G48" s="20"/>
      <c r="H48" s="21"/>
    </row>
    <row r="49" spans="3:8" ht="25.2" customHeight="1" thickBot="1" x14ac:dyDescent="0.35">
      <c r="C49" s="146" t="s">
        <v>110</v>
      </c>
      <c r="D49" s="12" t="s">
        <v>49</v>
      </c>
      <c r="E49" s="12">
        <f t="shared" si="4"/>
        <v>1</v>
      </c>
      <c r="F49" s="20"/>
      <c r="G49" s="20"/>
      <c r="H49" s="21"/>
    </row>
    <row r="50" spans="3:8" ht="36" customHeight="1" thickBot="1" x14ac:dyDescent="0.35">
      <c r="C50" s="158" t="s">
        <v>111</v>
      </c>
      <c r="D50" s="12" t="s">
        <v>49</v>
      </c>
      <c r="E50" s="12">
        <f t="shared" si="4"/>
        <v>1</v>
      </c>
      <c r="F50" s="20"/>
      <c r="G50" s="20"/>
      <c r="H50" s="21"/>
    </row>
    <row r="51" spans="3:8" ht="47.25" customHeight="1" thickBot="1" x14ac:dyDescent="0.35">
      <c r="C51" s="158" t="s">
        <v>112</v>
      </c>
      <c r="D51" s="12" t="s">
        <v>49</v>
      </c>
      <c r="E51" s="12">
        <f t="shared" si="4"/>
        <v>1</v>
      </c>
      <c r="F51" s="20"/>
      <c r="G51" s="20"/>
      <c r="H51" s="21"/>
    </row>
    <row r="52" spans="3:8" ht="25.2" customHeight="1" x14ac:dyDescent="0.3">
      <c r="C52" s="212" t="s">
        <v>46</v>
      </c>
      <c r="D52" s="213"/>
      <c r="E52" s="18">
        <f>SUM(E47:E51)</f>
        <v>5</v>
      </c>
      <c r="F52" s="20"/>
      <c r="G52" s="20"/>
      <c r="H52" s="21"/>
    </row>
    <row r="53" spans="3:8" ht="25.2" customHeight="1" x14ac:dyDescent="0.3">
      <c r="C53" s="19"/>
      <c r="D53" s="20"/>
      <c r="E53" s="20"/>
      <c r="F53" s="20"/>
      <c r="G53" s="20"/>
      <c r="H53" s="21"/>
    </row>
    <row r="54" spans="3:8" ht="25.2" customHeight="1" x14ac:dyDescent="0.3">
      <c r="C54" s="100" t="s">
        <v>32</v>
      </c>
      <c r="D54" s="18" t="str">
        <f>'3-Hazard Assessment'!G14</f>
        <v>Influenza</v>
      </c>
      <c r="F54" s="20"/>
      <c r="G54" s="20"/>
      <c r="H54" s="21"/>
    </row>
    <row r="55" spans="3:8" ht="25.2" customHeight="1" thickBot="1" x14ac:dyDescent="0.35">
      <c r="C55" s="101" t="s">
        <v>38</v>
      </c>
      <c r="D55" s="12" t="s">
        <v>39</v>
      </c>
      <c r="E55" s="14" t="s">
        <v>40</v>
      </c>
      <c r="F55" s="20"/>
      <c r="G55" s="20"/>
      <c r="H55" s="21"/>
    </row>
    <row r="56" spans="3:8" ht="25.2" customHeight="1" thickBot="1" x14ac:dyDescent="0.35">
      <c r="C56" s="150" t="s">
        <v>108</v>
      </c>
      <c r="D56" s="12" t="s">
        <v>49</v>
      </c>
      <c r="E56" s="12">
        <f>IF(D56="YES",1,0)</f>
        <v>1</v>
      </c>
      <c r="F56" s="20"/>
      <c r="G56" s="20"/>
      <c r="H56" s="21"/>
    </row>
    <row r="57" spans="3:8" ht="25.2" customHeight="1" thickBot="1" x14ac:dyDescent="0.35">
      <c r="C57" s="159" t="s">
        <v>109</v>
      </c>
      <c r="D57" s="12" t="s">
        <v>41</v>
      </c>
      <c r="E57" s="12">
        <f t="shared" ref="E57:E60" si="5">IF(D57="YES",1,0)</f>
        <v>0</v>
      </c>
      <c r="F57" s="20"/>
      <c r="G57" s="20"/>
      <c r="H57" s="21"/>
    </row>
    <row r="58" spans="3:8" ht="25.2" customHeight="1" thickBot="1" x14ac:dyDescent="0.35">
      <c r="C58" s="146" t="s">
        <v>110</v>
      </c>
      <c r="D58" s="12" t="s">
        <v>41</v>
      </c>
      <c r="E58" s="12">
        <f t="shared" si="5"/>
        <v>0</v>
      </c>
      <c r="F58" s="20"/>
      <c r="G58" s="20"/>
      <c r="H58" s="21"/>
    </row>
    <row r="59" spans="3:8" ht="25.2" customHeight="1" thickBot="1" x14ac:dyDescent="0.35">
      <c r="C59" s="158" t="s">
        <v>111</v>
      </c>
      <c r="D59" s="12" t="s">
        <v>41</v>
      </c>
      <c r="E59" s="12">
        <f t="shared" si="5"/>
        <v>0</v>
      </c>
      <c r="F59" s="20"/>
      <c r="G59" s="20"/>
      <c r="H59" s="21"/>
    </row>
    <row r="60" spans="3:8" ht="25.2" customHeight="1" thickBot="1" x14ac:dyDescent="0.35">
      <c r="C60" s="158" t="s">
        <v>112</v>
      </c>
      <c r="D60" s="12" t="s">
        <v>41</v>
      </c>
      <c r="E60" s="12">
        <f t="shared" si="5"/>
        <v>0</v>
      </c>
      <c r="F60" s="20"/>
      <c r="G60" s="20"/>
      <c r="H60" s="21"/>
    </row>
    <row r="61" spans="3:8" ht="25.2" customHeight="1" x14ac:dyDescent="0.3">
      <c r="C61" s="212" t="s">
        <v>46</v>
      </c>
      <c r="D61" s="213"/>
      <c r="E61" s="18">
        <f>SUM(E56:E60)</f>
        <v>1</v>
      </c>
      <c r="F61" s="20"/>
      <c r="G61" s="20"/>
      <c r="H61" s="21"/>
    </row>
    <row r="62" spans="3:8" ht="25.2" customHeight="1" x14ac:dyDescent="0.3">
      <c r="C62" s="19"/>
      <c r="D62" s="20"/>
      <c r="E62" s="20"/>
      <c r="F62" s="20"/>
      <c r="G62" s="20"/>
      <c r="H62" s="21"/>
    </row>
    <row r="63" spans="3:8" ht="25.2" customHeight="1" x14ac:dyDescent="0.3">
      <c r="C63" s="100" t="s">
        <v>33</v>
      </c>
      <c r="D63" s="18" t="str">
        <f>'3-Hazard Assessment'!H14</f>
        <v>Mass Casualities</v>
      </c>
      <c r="F63" s="20"/>
      <c r="G63" s="20"/>
      <c r="H63" s="21"/>
    </row>
    <row r="64" spans="3:8" ht="25.2" customHeight="1" thickBot="1" x14ac:dyDescent="0.35">
      <c r="C64" s="101" t="s">
        <v>38</v>
      </c>
      <c r="D64" s="12" t="s">
        <v>39</v>
      </c>
      <c r="E64" s="14" t="s">
        <v>40</v>
      </c>
      <c r="F64" s="20"/>
      <c r="G64" s="20"/>
      <c r="H64" s="21"/>
    </row>
    <row r="65" spans="3:8" ht="25.2" customHeight="1" thickBot="1" x14ac:dyDescent="0.35">
      <c r="C65" s="150" t="s">
        <v>108</v>
      </c>
      <c r="D65" s="12" t="s">
        <v>49</v>
      </c>
      <c r="E65" s="12">
        <f>IF(D65="YES",1,0)</f>
        <v>1</v>
      </c>
      <c r="F65" s="20"/>
      <c r="G65" s="20"/>
      <c r="H65" s="21"/>
    </row>
    <row r="66" spans="3:8" ht="25.2" customHeight="1" thickBot="1" x14ac:dyDescent="0.35">
      <c r="C66" s="159" t="s">
        <v>109</v>
      </c>
      <c r="D66" s="12" t="s">
        <v>41</v>
      </c>
      <c r="E66" s="12">
        <f t="shared" ref="E66:E69" si="6">IF(D66="YES",1,0)</f>
        <v>0</v>
      </c>
      <c r="F66" s="20"/>
      <c r="G66" s="20"/>
      <c r="H66" s="21"/>
    </row>
    <row r="67" spans="3:8" ht="25.2" customHeight="1" thickBot="1" x14ac:dyDescent="0.35">
      <c r="C67" s="146" t="s">
        <v>110</v>
      </c>
      <c r="D67" s="12" t="s">
        <v>41</v>
      </c>
      <c r="E67" s="12">
        <f t="shared" si="6"/>
        <v>0</v>
      </c>
      <c r="F67" s="20"/>
      <c r="G67" s="20"/>
      <c r="H67" s="21"/>
    </row>
    <row r="68" spans="3:8" ht="25.2" customHeight="1" thickBot="1" x14ac:dyDescent="0.35">
      <c r="C68" s="158" t="s">
        <v>111</v>
      </c>
      <c r="D68" s="12" t="s">
        <v>41</v>
      </c>
      <c r="E68" s="12">
        <f t="shared" si="6"/>
        <v>0</v>
      </c>
      <c r="F68" s="20"/>
      <c r="G68" s="20"/>
      <c r="H68" s="21"/>
    </row>
    <row r="69" spans="3:8" ht="25.2" customHeight="1" thickBot="1" x14ac:dyDescent="0.35">
      <c r="C69" s="158" t="s">
        <v>112</v>
      </c>
      <c r="D69" s="12" t="s">
        <v>41</v>
      </c>
      <c r="E69" s="12">
        <f t="shared" si="6"/>
        <v>0</v>
      </c>
      <c r="F69" s="20"/>
      <c r="G69" s="20"/>
      <c r="H69" s="21"/>
    </row>
    <row r="70" spans="3:8" ht="25.2" customHeight="1" x14ac:dyDescent="0.3">
      <c r="C70" s="212" t="s">
        <v>46</v>
      </c>
      <c r="D70" s="213"/>
      <c r="E70" s="18">
        <f>SUM(E65:E69)</f>
        <v>1</v>
      </c>
      <c r="F70" s="20"/>
      <c r="G70" s="20"/>
      <c r="H70" s="21"/>
    </row>
    <row r="71" spans="3:8" ht="25.2" customHeight="1" x14ac:dyDescent="0.3">
      <c r="C71" s="19"/>
      <c r="D71" s="20"/>
      <c r="E71" s="20"/>
      <c r="F71" s="20"/>
      <c r="G71" s="20"/>
      <c r="H71" s="21"/>
    </row>
    <row r="72" spans="3:8" ht="25.2" customHeight="1" x14ac:dyDescent="0.3">
      <c r="C72" s="100" t="s">
        <v>34</v>
      </c>
      <c r="D72" s="18" t="str">
        <f>'3-Hazard Assessment'!I14</f>
        <v>Chemical</v>
      </c>
      <c r="F72" s="20"/>
      <c r="G72" s="20"/>
      <c r="H72" s="21"/>
    </row>
    <row r="73" spans="3:8" ht="25.2" customHeight="1" thickBot="1" x14ac:dyDescent="0.35">
      <c r="C73" s="101" t="s">
        <v>38</v>
      </c>
      <c r="D73" s="12" t="s">
        <v>39</v>
      </c>
      <c r="E73" s="14" t="s">
        <v>40</v>
      </c>
      <c r="F73" s="20"/>
      <c r="G73" s="20"/>
      <c r="H73" s="21"/>
    </row>
    <row r="74" spans="3:8" ht="33" customHeight="1" thickBot="1" x14ac:dyDescent="0.35">
      <c r="C74" s="150" t="s">
        <v>108</v>
      </c>
      <c r="D74" s="12" t="s">
        <v>41</v>
      </c>
      <c r="E74" s="12">
        <f>IF(D74="YES",1,0)</f>
        <v>0</v>
      </c>
      <c r="F74" s="20"/>
      <c r="G74" s="20"/>
      <c r="H74" s="21"/>
    </row>
    <row r="75" spans="3:8" ht="34.200000000000003" customHeight="1" thickBot="1" x14ac:dyDescent="0.35">
      <c r="C75" s="159" t="s">
        <v>109</v>
      </c>
      <c r="D75" s="12" t="s">
        <v>49</v>
      </c>
      <c r="E75" s="12">
        <f t="shared" ref="E75:E78" si="7">IF(D75="YES",1,0)</f>
        <v>1</v>
      </c>
      <c r="F75" s="20"/>
      <c r="G75" s="20"/>
      <c r="H75" s="21"/>
    </row>
    <row r="76" spans="3:8" ht="48.6" customHeight="1" thickBot="1" x14ac:dyDescent="0.35">
      <c r="C76" s="146" t="s">
        <v>110</v>
      </c>
      <c r="D76" s="12" t="s">
        <v>41</v>
      </c>
      <c r="E76" s="12">
        <f t="shared" si="7"/>
        <v>0</v>
      </c>
      <c r="F76" s="20"/>
      <c r="G76" s="20"/>
      <c r="H76" s="21"/>
    </row>
    <row r="77" spans="3:8" ht="58.2" customHeight="1" thickBot="1" x14ac:dyDescent="0.35">
      <c r="C77" s="158" t="s">
        <v>111</v>
      </c>
      <c r="D77" s="12" t="s">
        <v>41</v>
      </c>
      <c r="E77" s="12">
        <f t="shared" si="7"/>
        <v>0</v>
      </c>
      <c r="F77" s="20"/>
      <c r="G77" s="20"/>
      <c r="H77" s="21"/>
    </row>
    <row r="78" spans="3:8" ht="43.95" customHeight="1" thickBot="1" x14ac:dyDescent="0.35">
      <c r="C78" s="158" t="s">
        <v>112</v>
      </c>
      <c r="D78" s="12" t="s">
        <v>49</v>
      </c>
      <c r="E78" s="12">
        <f t="shared" si="7"/>
        <v>1</v>
      </c>
      <c r="F78" s="20"/>
      <c r="G78" s="20"/>
      <c r="H78" s="21"/>
    </row>
    <row r="79" spans="3:8" ht="25.2" customHeight="1" x14ac:dyDescent="0.3">
      <c r="C79" s="212" t="s">
        <v>46</v>
      </c>
      <c r="D79" s="213"/>
      <c r="E79" s="18">
        <f>SUM(E74:E78)</f>
        <v>2</v>
      </c>
      <c r="F79" s="20"/>
      <c r="G79" s="20"/>
      <c r="H79" s="21"/>
    </row>
    <row r="80" spans="3:8" ht="25.2" customHeight="1" x14ac:dyDescent="0.3">
      <c r="C80" s="19"/>
      <c r="D80" s="20"/>
      <c r="E80" s="20"/>
      <c r="F80" s="20"/>
      <c r="G80" s="20"/>
      <c r="H80" s="21"/>
    </row>
    <row r="81" spans="3:8" ht="25.2" customHeight="1" x14ac:dyDescent="0.3">
      <c r="C81" s="100" t="s">
        <v>35</v>
      </c>
      <c r="D81" s="18" t="str">
        <f>'3-Hazard Assessment'!J14</f>
        <v>Radiological</v>
      </c>
      <c r="F81" s="20"/>
      <c r="G81" s="20"/>
      <c r="H81" s="21"/>
    </row>
    <row r="82" spans="3:8" ht="25.2" customHeight="1" thickBot="1" x14ac:dyDescent="0.35">
      <c r="C82" s="101" t="s">
        <v>38</v>
      </c>
      <c r="D82" s="12" t="s">
        <v>39</v>
      </c>
      <c r="E82" s="14" t="s">
        <v>40</v>
      </c>
      <c r="F82" s="20"/>
      <c r="G82" s="20"/>
      <c r="H82" s="21"/>
    </row>
    <row r="83" spans="3:8" ht="25.2" customHeight="1" thickBot="1" x14ac:dyDescent="0.35">
      <c r="C83" s="150" t="s">
        <v>108</v>
      </c>
      <c r="D83" s="12" t="s">
        <v>41</v>
      </c>
      <c r="E83" s="12">
        <f>IF(D83="YES",1,0)</f>
        <v>0</v>
      </c>
      <c r="F83" s="20"/>
      <c r="G83" s="20"/>
      <c r="H83" s="21"/>
    </row>
    <row r="84" spans="3:8" ht="25.2" customHeight="1" thickBot="1" x14ac:dyDescent="0.35">
      <c r="C84" s="159" t="s">
        <v>109</v>
      </c>
      <c r="D84" s="12" t="s">
        <v>49</v>
      </c>
      <c r="E84" s="12">
        <f t="shared" ref="E84:E87" si="8">IF(D84="YES",1,0)</f>
        <v>1</v>
      </c>
      <c r="F84" s="20"/>
      <c r="G84" s="20"/>
      <c r="H84" s="21"/>
    </row>
    <row r="85" spans="3:8" ht="25.2" customHeight="1" thickBot="1" x14ac:dyDescent="0.35">
      <c r="C85" s="146" t="s">
        <v>110</v>
      </c>
      <c r="D85" s="12" t="s">
        <v>41</v>
      </c>
      <c r="E85" s="12">
        <f t="shared" si="8"/>
        <v>0</v>
      </c>
      <c r="F85" s="20"/>
      <c r="G85" s="20"/>
      <c r="H85" s="21"/>
    </row>
    <row r="86" spans="3:8" ht="25.2" customHeight="1" thickBot="1" x14ac:dyDescent="0.35">
      <c r="C86" s="158" t="s">
        <v>111</v>
      </c>
      <c r="D86" s="12" t="s">
        <v>41</v>
      </c>
      <c r="E86" s="12">
        <f t="shared" si="8"/>
        <v>0</v>
      </c>
      <c r="F86" s="20"/>
      <c r="G86" s="20"/>
      <c r="H86" s="21"/>
    </row>
    <row r="87" spans="3:8" ht="25.2" customHeight="1" thickBot="1" x14ac:dyDescent="0.35">
      <c r="C87" s="158" t="s">
        <v>112</v>
      </c>
      <c r="D87" s="12" t="s">
        <v>41</v>
      </c>
      <c r="E87" s="12">
        <f t="shared" si="8"/>
        <v>0</v>
      </c>
      <c r="F87" s="20"/>
      <c r="G87" s="20"/>
      <c r="H87" s="21"/>
    </row>
    <row r="88" spans="3:8" ht="25.2" customHeight="1" x14ac:dyDescent="0.3">
      <c r="C88" s="212" t="s">
        <v>46</v>
      </c>
      <c r="D88" s="213"/>
      <c r="E88" s="18">
        <f>SUM(E83:E87)</f>
        <v>1</v>
      </c>
      <c r="F88" s="20"/>
      <c r="G88" s="20"/>
      <c r="H88" s="21"/>
    </row>
    <row r="89" spans="3:8" ht="25.2" customHeight="1" x14ac:dyDescent="0.3">
      <c r="C89" s="19"/>
      <c r="D89" s="20"/>
      <c r="E89" s="20"/>
      <c r="F89" s="20"/>
      <c r="G89" s="20"/>
      <c r="H89" s="21"/>
    </row>
    <row r="90" spans="3:8" ht="25.2" customHeight="1" x14ac:dyDescent="0.3">
      <c r="C90" s="100" t="s">
        <v>36</v>
      </c>
      <c r="D90" s="18" t="str">
        <f>'3-Hazard Assessment'!K14</f>
        <v>Physical</v>
      </c>
      <c r="F90" s="20"/>
      <c r="G90" s="20"/>
      <c r="H90" s="21"/>
    </row>
    <row r="91" spans="3:8" ht="25.2" customHeight="1" thickBot="1" x14ac:dyDescent="0.35">
      <c r="C91" s="101" t="s">
        <v>38</v>
      </c>
      <c r="D91" s="12" t="s">
        <v>39</v>
      </c>
      <c r="E91" s="14" t="s">
        <v>40</v>
      </c>
      <c r="F91" s="20"/>
      <c r="G91" s="20"/>
      <c r="H91" s="21"/>
    </row>
    <row r="92" spans="3:8" ht="48" customHeight="1" thickBot="1" x14ac:dyDescent="0.35">
      <c r="C92" s="150" t="s">
        <v>108</v>
      </c>
      <c r="D92" s="12" t="s">
        <v>49</v>
      </c>
      <c r="E92" s="12">
        <f>IF(D92="YES",1,0)</f>
        <v>1</v>
      </c>
      <c r="F92" s="20"/>
      <c r="G92" s="20"/>
      <c r="H92" s="21"/>
    </row>
    <row r="93" spans="3:8" ht="25.2" customHeight="1" thickBot="1" x14ac:dyDescent="0.35">
      <c r="C93" s="159" t="s">
        <v>109</v>
      </c>
      <c r="D93" s="12" t="s">
        <v>49</v>
      </c>
      <c r="E93" s="12">
        <f t="shared" ref="E93:E96" si="9">IF(D93="YES",1,0)</f>
        <v>1</v>
      </c>
      <c r="F93" s="20"/>
      <c r="G93" s="20"/>
      <c r="H93" s="21"/>
    </row>
    <row r="94" spans="3:8" ht="25.2" customHeight="1" thickBot="1" x14ac:dyDescent="0.35">
      <c r="C94" s="146" t="s">
        <v>110</v>
      </c>
      <c r="D94" s="12" t="s">
        <v>41</v>
      </c>
      <c r="E94" s="12">
        <f t="shared" si="9"/>
        <v>0</v>
      </c>
      <c r="F94" s="20"/>
      <c r="G94" s="20"/>
      <c r="H94" s="21"/>
    </row>
    <row r="95" spans="3:8" ht="25.2" customHeight="1" thickBot="1" x14ac:dyDescent="0.35">
      <c r="C95" s="158" t="s">
        <v>111</v>
      </c>
      <c r="D95" s="12" t="s">
        <v>41</v>
      </c>
      <c r="E95" s="12">
        <f t="shared" si="9"/>
        <v>0</v>
      </c>
      <c r="F95" s="20"/>
      <c r="G95" s="20"/>
      <c r="H95" s="21"/>
    </row>
    <row r="96" spans="3:8" ht="25.2" customHeight="1" thickBot="1" x14ac:dyDescent="0.35">
      <c r="C96" s="158" t="s">
        <v>112</v>
      </c>
      <c r="D96" s="12" t="s">
        <v>49</v>
      </c>
      <c r="E96" s="12">
        <f t="shared" si="9"/>
        <v>1</v>
      </c>
      <c r="F96" s="20"/>
      <c r="G96" s="20"/>
      <c r="H96" s="21"/>
    </row>
    <row r="97" spans="1:20" ht="25.2" customHeight="1" x14ac:dyDescent="0.3">
      <c r="C97" s="212" t="s">
        <v>46</v>
      </c>
      <c r="D97" s="213"/>
      <c r="E97" s="18">
        <f>SUM(E92:E96)</f>
        <v>3</v>
      </c>
      <c r="F97" s="130"/>
      <c r="G97" s="131"/>
      <c r="H97" s="132"/>
    </row>
    <row r="98" spans="1:20" ht="25.2" customHeight="1" x14ac:dyDescent="0.3">
      <c r="A98" s="19"/>
      <c r="D98" s="20"/>
      <c r="E98" s="20"/>
      <c r="F98" s="20"/>
      <c r="G98" s="20"/>
    </row>
    <row r="99" spans="1:20" ht="46.95" customHeight="1" thickBot="1" x14ac:dyDescent="0.35"/>
    <row r="100" spans="1:20" ht="104.25" customHeight="1" thickBot="1" x14ac:dyDescent="0.35">
      <c r="C100" s="243" t="s">
        <v>113</v>
      </c>
      <c r="D100" s="244"/>
      <c r="E100" s="244"/>
      <c r="F100" s="244"/>
      <c r="G100" s="244"/>
      <c r="H100" s="244"/>
      <c r="I100" s="244"/>
      <c r="J100" s="244"/>
      <c r="K100" s="244"/>
      <c r="L100" s="244"/>
      <c r="M100" s="245"/>
    </row>
    <row r="101" spans="1:20" ht="39.75" customHeight="1" thickBot="1" x14ac:dyDescent="0.35">
      <c r="C101" s="102" t="s">
        <v>55</v>
      </c>
      <c r="D101" s="7" t="s">
        <v>56</v>
      </c>
      <c r="E101" s="7" t="s">
        <v>57</v>
      </c>
      <c r="F101" s="7" t="s">
        <v>58</v>
      </c>
      <c r="G101" s="7" t="s">
        <v>30</v>
      </c>
      <c r="H101" s="7" t="s">
        <v>59</v>
      </c>
      <c r="I101" s="7" t="s">
        <v>60</v>
      </c>
      <c r="J101" s="7" t="s">
        <v>61</v>
      </c>
      <c r="K101" s="7" t="s">
        <v>62</v>
      </c>
      <c r="L101" s="7" t="s">
        <v>63</v>
      </c>
      <c r="M101" s="7" t="s">
        <v>64</v>
      </c>
    </row>
    <row r="102" spans="1:20" ht="39.75" customHeight="1" thickBot="1" x14ac:dyDescent="0.35">
      <c r="C102" s="102" t="s">
        <v>65</v>
      </c>
      <c r="D102" s="22" t="str">
        <f>'3-Hazard Assessment'!B14</f>
        <v>Dengue</v>
      </c>
      <c r="E102" s="22" t="str">
        <f>'3-Hazard Assessment'!C14</f>
        <v>Cholera</v>
      </c>
      <c r="F102" s="22" t="str">
        <f>'3-Hazard Assessment'!D14</f>
        <v>Malaria</v>
      </c>
      <c r="G102" s="22" t="str">
        <f>'3-Hazard Assessment'!E14</f>
        <v>VHF</v>
      </c>
      <c r="H102" s="22" t="str">
        <f>'3-Hazard Assessment'!F14</f>
        <v>Covid-19</v>
      </c>
      <c r="I102" s="22" t="str">
        <f>'3-Hazard Assessment'!G14</f>
        <v>Influenza</v>
      </c>
      <c r="J102" s="22" t="str">
        <f>'3-Hazard Assessment'!H14</f>
        <v>Mass Casualities</v>
      </c>
      <c r="K102" s="22" t="str">
        <f>'3-Hazard Assessment'!I14</f>
        <v>Chemical</v>
      </c>
      <c r="L102" s="22" t="str">
        <f>'3-Hazard Assessment'!J14</f>
        <v>Radiological</v>
      </c>
      <c r="M102" s="22" t="str">
        <f>'3-Hazard Assessment'!K14</f>
        <v>Physical</v>
      </c>
    </row>
    <row r="103" spans="1:20" ht="30" customHeight="1" thickBot="1" x14ac:dyDescent="0.35">
      <c r="C103" s="103" t="s">
        <v>40</v>
      </c>
      <c r="D103" s="98">
        <f>E16</f>
        <v>2</v>
      </c>
      <c r="E103" s="23">
        <f>E25</f>
        <v>5</v>
      </c>
      <c r="F103" s="23">
        <f>E34</f>
        <v>2</v>
      </c>
      <c r="G103" s="23">
        <f>E43</f>
        <v>2</v>
      </c>
      <c r="H103" s="23">
        <f>E52</f>
        <v>5</v>
      </c>
      <c r="I103" s="23">
        <f>E61</f>
        <v>1</v>
      </c>
      <c r="J103" s="23">
        <f>E70</f>
        <v>1</v>
      </c>
      <c r="K103" s="23">
        <f>E79</f>
        <v>2</v>
      </c>
      <c r="L103" s="23">
        <f>E88</f>
        <v>1</v>
      </c>
      <c r="M103" s="24">
        <f>E97</f>
        <v>3</v>
      </c>
    </row>
    <row r="104" spans="1:20" ht="16.2" thickBot="1" x14ac:dyDescent="0.35">
      <c r="C104" s="103" t="s">
        <v>114</v>
      </c>
      <c r="D104" s="99" t="str">
        <f>IF(D103=1,"Very Unlikely",IF(D103=2,"Unlikely",IF(D103=3,"Likely",IF(D103=4,"Very Likely",IF(D103=5,"Almost certain")))))</f>
        <v>Unlikely</v>
      </c>
      <c r="E104" s="99" t="str">
        <f t="shared" ref="E104:M104" si="10">IF(E103=1,"Very Unlikely",IF(E103=2,"Unlikely",IF(E103=3,"Likely",IF(E103=4,"Very Likely",IF(E103=5,"Almost certain")))))</f>
        <v>Almost certain</v>
      </c>
      <c r="F104" s="99" t="str">
        <f t="shared" si="10"/>
        <v>Unlikely</v>
      </c>
      <c r="G104" s="99" t="str">
        <f t="shared" si="10"/>
        <v>Unlikely</v>
      </c>
      <c r="H104" s="99" t="str">
        <f t="shared" si="10"/>
        <v>Almost certain</v>
      </c>
      <c r="I104" s="99" t="str">
        <f t="shared" si="10"/>
        <v>Very Unlikely</v>
      </c>
      <c r="J104" s="99" t="str">
        <f t="shared" si="10"/>
        <v>Very Unlikely</v>
      </c>
      <c r="K104" s="99" t="str">
        <f t="shared" si="10"/>
        <v>Unlikely</v>
      </c>
      <c r="L104" s="99" t="str">
        <f t="shared" si="10"/>
        <v>Very Unlikely</v>
      </c>
      <c r="M104" s="99" t="str">
        <f t="shared" si="10"/>
        <v>Likely</v>
      </c>
    </row>
    <row r="106" spans="1:20" x14ac:dyDescent="0.3">
      <c r="C106" s="104"/>
      <c r="D106" s="104"/>
      <c r="E106" s="104"/>
      <c r="F106" s="104"/>
      <c r="G106" s="104"/>
      <c r="H106" s="104"/>
      <c r="I106" s="104"/>
      <c r="J106" s="104"/>
      <c r="K106" s="104"/>
      <c r="L106" s="104"/>
      <c r="M106" s="104"/>
      <c r="N106" s="104"/>
      <c r="O106" s="104"/>
      <c r="P106" s="104"/>
      <c r="Q106" s="104"/>
      <c r="R106" s="104"/>
      <c r="S106" s="104"/>
      <c r="T106" s="104"/>
    </row>
    <row r="107" spans="1:20" x14ac:dyDescent="0.3">
      <c r="C107" s="104"/>
      <c r="D107" s="104"/>
      <c r="E107" s="104"/>
      <c r="F107" s="104"/>
      <c r="G107" s="104"/>
      <c r="H107" s="104"/>
      <c r="I107" s="104"/>
      <c r="J107" s="104"/>
      <c r="K107" s="104"/>
      <c r="L107" s="104"/>
      <c r="M107" s="104"/>
      <c r="N107" s="104"/>
      <c r="O107" s="104"/>
      <c r="P107" s="104"/>
      <c r="Q107" s="104"/>
      <c r="R107" s="104"/>
      <c r="S107" s="104"/>
      <c r="T107" s="104"/>
    </row>
    <row r="108" spans="1:20" x14ac:dyDescent="0.3">
      <c r="C108" s="104"/>
      <c r="D108" s="104"/>
      <c r="E108" s="104"/>
      <c r="F108" s="104"/>
      <c r="G108" s="104"/>
      <c r="H108" s="104"/>
      <c r="I108" s="104"/>
      <c r="J108" s="104"/>
      <c r="K108" s="104"/>
      <c r="L108" s="104"/>
      <c r="M108" s="104"/>
      <c r="N108" s="104"/>
      <c r="O108" s="104"/>
      <c r="P108" s="104"/>
      <c r="Q108" s="104"/>
      <c r="R108" s="104"/>
      <c r="S108" s="104"/>
      <c r="T108" s="104"/>
    </row>
    <row r="109" spans="1:20" x14ac:dyDescent="0.3">
      <c r="C109" s="104"/>
      <c r="D109" s="104"/>
      <c r="E109" s="104"/>
      <c r="F109" s="104"/>
      <c r="G109" s="104"/>
      <c r="H109" s="104"/>
      <c r="I109" s="104"/>
      <c r="J109" s="104"/>
      <c r="K109" s="104"/>
      <c r="L109" s="104"/>
      <c r="M109" s="104"/>
      <c r="N109" s="104"/>
      <c r="O109" s="104"/>
      <c r="P109" s="104"/>
      <c r="Q109" s="104"/>
      <c r="R109" s="104"/>
      <c r="S109" s="104"/>
      <c r="T109" s="104"/>
    </row>
    <row r="110" spans="1:20" x14ac:dyDescent="0.3">
      <c r="C110" s="104"/>
      <c r="D110" s="104"/>
      <c r="E110" s="104"/>
      <c r="F110" s="104"/>
      <c r="G110" s="104"/>
      <c r="H110" s="104"/>
      <c r="I110" s="104"/>
      <c r="J110" s="104"/>
      <c r="K110" s="104"/>
      <c r="L110" s="104"/>
      <c r="M110" s="104"/>
      <c r="N110" s="104"/>
      <c r="O110" s="104"/>
      <c r="P110" s="104"/>
      <c r="Q110" s="104"/>
      <c r="R110" s="104"/>
      <c r="S110" s="104"/>
      <c r="T110" s="104"/>
    </row>
    <row r="111" spans="1:20" x14ac:dyDescent="0.3">
      <c r="C111" s="104"/>
      <c r="D111" s="104"/>
      <c r="E111" s="104"/>
      <c r="F111" s="104"/>
      <c r="G111" s="104"/>
      <c r="H111" s="104"/>
      <c r="I111" s="104"/>
      <c r="J111" s="104"/>
      <c r="K111" s="104"/>
      <c r="L111" s="104"/>
      <c r="M111" s="104"/>
      <c r="N111" s="104"/>
      <c r="O111" s="104"/>
      <c r="P111" s="104"/>
      <c r="Q111" s="104"/>
      <c r="R111" s="104"/>
      <c r="S111" s="104"/>
      <c r="T111" s="104"/>
    </row>
    <row r="112" spans="1:20" x14ac:dyDescent="0.3">
      <c r="C112" s="104"/>
      <c r="D112" s="104"/>
      <c r="E112" s="104"/>
      <c r="F112" s="104"/>
      <c r="G112" s="104"/>
      <c r="H112" s="104"/>
      <c r="I112" s="104"/>
      <c r="J112" s="104"/>
      <c r="K112" s="104"/>
      <c r="L112" s="104"/>
      <c r="M112" s="104"/>
      <c r="N112" s="104"/>
      <c r="O112" s="104"/>
      <c r="P112" s="104"/>
      <c r="Q112" s="104"/>
      <c r="R112" s="104"/>
      <c r="S112" s="104"/>
      <c r="T112" s="104"/>
    </row>
    <row r="113" spans="3:20" x14ac:dyDescent="0.3">
      <c r="C113" s="104"/>
      <c r="D113" s="104"/>
      <c r="E113" s="104"/>
      <c r="F113" s="104"/>
      <c r="G113" s="104"/>
      <c r="H113" s="104"/>
      <c r="I113" s="104"/>
      <c r="J113" s="104"/>
      <c r="K113" s="104"/>
      <c r="L113" s="104"/>
      <c r="M113" s="104"/>
      <c r="N113" s="104"/>
      <c r="O113" s="104"/>
      <c r="P113" s="104"/>
      <c r="Q113" s="104"/>
      <c r="R113" s="104"/>
      <c r="S113" s="104"/>
      <c r="T113" s="104"/>
    </row>
    <row r="114" spans="3:20" x14ac:dyDescent="0.3">
      <c r="C114" s="104"/>
      <c r="D114" s="104"/>
      <c r="E114" s="104"/>
      <c r="F114" s="104"/>
      <c r="G114" s="104"/>
      <c r="H114" s="104"/>
      <c r="I114" s="104"/>
      <c r="J114" s="104"/>
      <c r="K114" s="104"/>
      <c r="L114" s="104"/>
      <c r="M114" s="104"/>
      <c r="N114" s="104"/>
      <c r="O114" s="104"/>
      <c r="P114" s="104"/>
      <c r="Q114" s="104"/>
      <c r="R114" s="104"/>
      <c r="S114" s="104"/>
      <c r="T114" s="104"/>
    </row>
    <row r="115" spans="3:20" x14ac:dyDescent="0.3">
      <c r="C115" s="104"/>
      <c r="D115" s="104"/>
      <c r="E115" s="104"/>
      <c r="F115" s="104"/>
      <c r="G115" s="104"/>
      <c r="H115" s="104"/>
      <c r="I115" s="104"/>
      <c r="J115" s="104"/>
      <c r="K115" s="104"/>
      <c r="L115" s="104"/>
      <c r="M115" s="104"/>
      <c r="N115" s="104"/>
      <c r="O115" s="104"/>
      <c r="P115" s="104"/>
      <c r="Q115" s="104"/>
      <c r="R115" s="104"/>
      <c r="S115" s="104"/>
      <c r="T115" s="104"/>
    </row>
    <row r="116" spans="3:20" x14ac:dyDescent="0.3">
      <c r="C116" s="104"/>
      <c r="D116" s="104"/>
      <c r="E116" s="104"/>
      <c r="F116" s="104"/>
      <c r="G116" s="104"/>
      <c r="H116" s="104"/>
      <c r="I116" s="104"/>
      <c r="J116" s="104"/>
      <c r="K116" s="104"/>
      <c r="L116" s="104"/>
      <c r="M116" s="104"/>
      <c r="N116" s="104"/>
      <c r="O116" s="104"/>
      <c r="P116" s="104"/>
      <c r="Q116" s="104"/>
      <c r="R116" s="104"/>
      <c r="S116" s="104"/>
      <c r="T116" s="104"/>
    </row>
    <row r="117" spans="3:20" x14ac:dyDescent="0.3">
      <c r="C117" s="104"/>
      <c r="D117" s="104"/>
      <c r="E117" s="104"/>
      <c r="F117" s="104"/>
      <c r="G117" s="104"/>
      <c r="H117" s="104"/>
      <c r="I117" s="104"/>
      <c r="J117" s="104"/>
      <c r="K117" s="104"/>
      <c r="L117" s="104"/>
      <c r="M117" s="104"/>
      <c r="N117" s="104"/>
      <c r="O117" s="104"/>
      <c r="P117" s="104"/>
      <c r="Q117" s="104"/>
      <c r="R117" s="104"/>
      <c r="S117" s="104"/>
      <c r="T117" s="104"/>
    </row>
    <row r="118" spans="3:20" x14ac:dyDescent="0.3">
      <c r="C118" s="104"/>
      <c r="D118" s="104"/>
      <c r="E118" s="104"/>
      <c r="F118" s="104"/>
      <c r="G118" s="104"/>
      <c r="H118" s="104"/>
      <c r="I118" s="104"/>
      <c r="J118" s="104"/>
      <c r="K118" s="104"/>
      <c r="L118" s="104"/>
      <c r="M118" s="104"/>
      <c r="N118" s="104"/>
      <c r="O118" s="104"/>
      <c r="P118" s="104"/>
      <c r="Q118" s="104"/>
      <c r="R118" s="104"/>
      <c r="S118" s="104"/>
      <c r="T118" s="104"/>
    </row>
    <row r="119" spans="3:20" x14ac:dyDescent="0.3">
      <c r="C119" s="104"/>
      <c r="D119" s="104"/>
      <c r="E119" s="104"/>
      <c r="F119" s="104"/>
      <c r="G119" s="104"/>
      <c r="H119" s="104"/>
      <c r="I119" s="104"/>
      <c r="J119" s="104"/>
      <c r="K119" s="104"/>
      <c r="L119" s="104"/>
      <c r="M119" s="104"/>
      <c r="N119" s="104"/>
      <c r="O119" s="104"/>
      <c r="P119" s="104"/>
      <c r="Q119" s="104"/>
      <c r="R119" s="104"/>
      <c r="S119" s="104"/>
      <c r="T119" s="104"/>
    </row>
    <row r="120" spans="3:20" x14ac:dyDescent="0.3">
      <c r="C120" s="104"/>
      <c r="D120" s="104"/>
      <c r="E120" s="104"/>
      <c r="F120" s="104"/>
      <c r="G120" s="104"/>
      <c r="H120" s="104"/>
      <c r="I120" s="104"/>
      <c r="J120" s="104"/>
      <c r="K120" s="104"/>
      <c r="L120" s="104"/>
      <c r="M120" s="104"/>
      <c r="N120" s="104"/>
      <c r="O120" s="104"/>
      <c r="P120" s="104"/>
      <c r="Q120" s="104"/>
      <c r="R120" s="104"/>
      <c r="S120" s="104"/>
      <c r="T120" s="104"/>
    </row>
    <row r="121" spans="3:20" x14ac:dyDescent="0.3">
      <c r="C121" s="104"/>
      <c r="D121" s="104"/>
      <c r="E121" s="104"/>
      <c r="F121" s="104"/>
      <c r="G121" s="104"/>
      <c r="H121" s="104"/>
      <c r="I121" s="104"/>
      <c r="J121" s="104"/>
      <c r="K121" s="104"/>
      <c r="L121" s="104"/>
      <c r="M121" s="104"/>
      <c r="N121" s="104"/>
      <c r="O121" s="104"/>
      <c r="P121" s="104"/>
      <c r="Q121" s="104"/>
      <c r="R121" s="104"/>
      <c r="S121" s="104"/>
      <c r="T121" s="104"/>
    </row>
    <row r="122" spans="3:20" x14ac:dyDescent="0.3">
      <c r="C122" s="104"/>
      <c r="D122" s="104"/>
      <c r="E122" s="104"/>
      <c r="F122" s="104"/>
      <c r="G122" s="104"/>
      <c r="H122" s="104"/>
      <c r="I122" s="104"/>
      <c r="J122" s="104"/>
      <c r="K122" s="104"/>
      <c r="L122" s="104"/>
      <c r="M122" s="104"/>
      <c r="N122" s="104"/>
      <c r="O122" s="104"/>
      <c r="P122" s="104"/>
      <c r="Q122" s="104"/>
      <c r="R122" s="104"/>
      <c r="S122" s="104"/>
      <c r="T122" s="104"/>
    </row>
    <row r="123" spans="3:20" x14ac:dyDescent="0.3">
      <c r="C123" s="104"/>
      <c r="D123" s="104"/>
      <c r="E123" s="104"/>
      <c r="F123" s="104"/>
      <c r="G123" s="104"/>
      <c r="H123" s="104"/>
      <c r="I123" s="104"/>
      <c r="J123" s="104"/>
      <c r="K123" s="104"/>
      <c r="L123" s="104"/>
      <c r="M123" s="104"/>
      <c r="N123" s="104"/>
      <c r="O123" s="104"/>
      <c r="P123" s="104"/>
      <c r="Q123" s="104"/>
      <c r="R123" s="104"/>
      <c r="S123" s="104"/>
      <c r="T123" s="104"/>
    </row>
    <row r="124" spans="3:20" x14ac:dyDescent="0.3">
      <c r="C124" s="104"/>
      <c r="D124" s="104"/>
      <c r="E124" s="104"/>
      <c r="F124" s="104"/>
      <c r="G124" s="104"/>
      <c r="H124" s="104"/>
      <c r="I124" s="104"/>
      <c r="J124" s="104"/>
      <c r="K124" s="104"/>
      <c r="L124" s="104"/>
      <c r="M124" s="104"/>
      <c r="N124" s="104"/>
      <c r="O124" s="104"/>
      <c r="P124" s="104"/>
      <c r="Q124" s="104"/>
      <c r="R124" s="104"/>
      <c r="S124" s="104"/>
      <c r="T124" s="104"/>
    </row>
    <row r="125" spans="3:20" x14ac:dyDescent="0.3">
      <c r="C125" s="104"/>
      <c r="D125" s="104"/>
      <c r="E125" s="104"/>
      <c r="F125" s="104"/>
      <c r="G125" s="104"/>
      <c r="H125" s="104"/>
      <c r="I125" s="104"/>
      <c r="J125" s="104"/>
      <c r="K125" s="104"/>
      <c r="L125" s="104"/>
      <c r="M125" s="104"/>
      <c r="N125" s="104"/>
      <c r="O125" s="104"/>
      <c r="P125" s="104"/>
      <c r="Q125" s="104"/>
      <c r="R125" s="104"/>
      <c r="S125" s="104"/>
      <c r="T125" s="104"/>
    </row>
    <row r="126" spans="3:20" x14ac:dyDescent="0.3">
      <c r="C126" s="104"/>
      <c r="D126" s="104"/>
      <c r="E126" s="104"/>
      <c r="F126" s="104"/>
      <c r="G126" s="104"/>
      <c r="H126" s="104"/>
      <c r="I126" s="104"/>
      <c r="J126" s="104"/>
      <c r="K126" s="104"/>
      <c r="L126" s="104"/>
      <c r="M126" s="104"/>
      <c r="N126" s="104"/>
      <c r="O126" s="104"/>
      <c r="P126" s="104"/>
      <c r="Q126" s="104"/>
      <c r="R126" s="104"/>
      <c r="S126" s="104"/>
      <c r="T126" s="104"/>
    </row>
    <row r="127" spans="3:20" x14ac:dyDescent="0.3">
      <c r="C127" s="104"/>
      <c r="D127" s="104"/>
      <c r="E127" s="104"/>
      <c r="F127" s="104"/>
      <c r="G127" s="104"/>
      <c r="H127" s="104"/>
      <c r="I127" s="104"/>
      <c r="J127" s="104"/>
      <c r="K127" s="104"/>
      <c r="L127" s="104"/>
      <c r="M127" s="104"/>
      <c r="N127" s="104"/>
      <c r="O127" s="104"/>
      <c r="P127" s="104"/>
      <c r="Q127" s="104"/>
      <c r="R127" s="104"/>
      <c r="S127" s="104"/>
      <c r="T127" s="104"/>
    </row>
    <row r="128" spans="3:20" x14ac:dyDescent="0.3">
      <c r="C128" s="104"/>
      <c r="D128" s="104"/>
      <c r="E128" s="104"/>
      <c r="F128" s="104"/>
      <c r="G128" s="104"/>
      <c r="H128" s="104"/>
      <c r="I128" s="104"/>
      <c r="J128" s="104"/>
      <c r="K128" s="104"/>
      <c r="L128" s="104"/>
      <c r="M128" s="104"/>
      <c r="N128" s="104"/>
      <c r="O128" s="104"/>
      <c r="P128" s="104"/>
      <c r="Q128" s="104"/>
      <c r="R128" s="104"/>
      <c r="S128" s="104"/>
      <c r="T128" s="104"/>
    </row>
    <row r="129" spans="3:20" x14ac:dyDescent="0.3">
      <c r="C129" s="104"/>
      <c r="D129" s="104"/>
      <c r="E129" s="104"/>
      <c r="F129" s="104"/>
      <c r="G129" s="104"/>
      <c r="H129" s="104"/>
      <c r="I129" s="104"/>
      <c r="J129" s="104"/>
      <c r="K129" s="104"/>
      <c r="L129" s="104"/>
      <c r="M129" s="104"/>
      <c r="N129" s="104"/>
      <c r="O129" s="104"/>
      <c r="P129" s="104"/>
      <c r="Q129" s="104"/>
      <c r="R129" s="104"/>
      <c r="S129" s="104"/>
      <c r="T129" s="104"/>
    </row>
    <row r="130" spans="3:20" x14ac:dyDescent="0.3">
      <c r="C130" s="104"/>
      <c r="D130" s="104"/>
      <c r="E130" s="104"/>
      <c r="F130" s="104"/>
      <c r="G130" s="104"/>
      <c r="H130" s="104"/>
      <c r="I130" s="104"/>
      <c r="J130" s="104"/>
      <c r="K130" s="104"/>
      <c r="L130" s="104"/>
      <c r="M130" s="104"/>
      <c r="N130" s="104"/>
      <c r="O130" s="104"/>
      <c r="P130" s="104"/>
      <c r="Q130" s="104"/>
      <c r="R130" s="104"/>
      <c r="S130" s="104"/>
      <c r="T130" s="104"/>
    </row>
    <row r="131" spans="3:20" x14ac:dyDescent="0.3">
      <c r="C131" s="104"/>
      <c r="D131" s="104"/>
      <c r="E131" s="104"/>
      <c r="F131" s="104"/>
      <c r="G131" s="104"/>
      <c r="H131" s="104"/>
      <c r="I131" s="104"/>
      <c r="J131" s="104"/>
      <c r="K131" s="104"/>
      <c r="L131" s="104"/>
      <c r="M131" s="104"/>
      <c r="N131" s="104"/>
      <c r="O131" s="104"/>
      <c r="P131" s="104"/>
      <c r="Q131" s="104"/>
      <c r="R131" s="104"/>
      <c r="S131" s="104"/>
      <c r="T131" s="104"/>
    </row>
    <row r="132" spans="3:20" x14ac:dyDescent="0.3">
      <c r="C132" s="104"/>
      <c r="D132" s="104"/>
      <c r="E132" s="104"/>
      <c r="F132" s="104"/>
      <c r="G132" s="104"/>
      <c r="H132" s="104"/>
      <c r="I132" s="104"/>
      <c r="J132" s="104"/>
      <c r="K132" s="104"/>
      <c r="L132" s="104"/>
      <c r="M132" s="104"/>
      <c r="N132" s="104"/>
      <c r="O132" s="104"/>
      <c r="P132" s="104"/>
      <c r="Q132" s="104"/>
      <c r="R132" s="104"/>
      <c r="S132" s="104"/>
      <c r="T132" s="104"/>
    </row>
    <row r="133" spans="3:20" x14ac:dyDescent="0.3">
      <c r="C133" s="104"/>
      <c r="D133" s="104"/>
      <c r="E133" s="104"/>
      <c r="F133" s="104"/>
      <c r="G133" s="104"/>
      <c r="H133" s="104"/>
      <c r="I133" s="104"/>
      <c r="J133" s="104"/>
      <c r="K133" s="104"/>
      <c r="L133" s="104"/>
      <c r="M133" s="104"/>
      <c r="N133" s="104"/>
      <c r="O133" s="104"/>
      <c r="P133" s="104"/>
      <c r="Q133" s="104"/>
      <c r="R133" s="104"/>
      <c r="S133" s="104"/>
      <c r="T133" s="104"/>
    </row>
    <row r="134" spans="3:20" x14ac:dyDescent="0.3">
      <c r="C134" s="104"/>
      <c r="D134" s="104"/>
      <c r="E134" s="104"/>
      <c r="F134" s="104"/>
      <c r="G134" s="104"/>
      <c r="H134" s="104"/>
      <c r="I134" s="104"/>
      <c r="J134" s="104"/>
      <c r="K134" s="104"/>
      <c r="L134" s="104"/>
      <c r="M134" s="104"/>
      <c r="N134" s="104"/>
      <c r="O134" s="104"/>
      <c r="P134" s="104"/>
      <c r="Q134" s="104"/>
      <c r="R134" s="104"/>
      <c r="S134" s="104"/>
      <c r="T134" s="104"/>
    </row>
    <row r="135" spans="3:20" x14ac:dyDescent="0.3">
      <c r="C135" s="104"/>
      <c r="D135" s="104"/>
      <c r="E135" s="104"/>
      <c r="F135" s="104"/>
      <c r="G135" s="104"/>
      <c r="H135" s="104"/>
      <c r="I135" s="104"/>
      <c r="J135" s="104"/>
      <c r="K135" s="104"/>
      <c r="L135" s="104"/>
      <c r="M135" s="104"/>
      <c r="N135" s="104"/>
      <c r="O135" s="104"/>
      <c r="P135" s="104"/>
      <c r="Q135" s="104"/>
      <c r="R135" s="104"/>
      <c r="S135" s="104"/>
      <c r="T135" s="104"/>
    </row>
    <row r="136" spans="3:20" x14ac:dyDescent="0.3">
      <c r="C136" s="104"/>
      <c r="D136" s="104"/>
      <c r="E136" s="104"/>
      <c r="F136" s="104"/>
      <c r="G136" s="104"/>
      <c r="H136" s="104"/>
      <c r="I136" s="104"/>
      <c r="J136" s="104"/>
      <c r="K136" s="104"/>
      <c r="L136" s="104"/>
      <c r="M136" s="104"/>
      <c r="N136" s="104"/>
      <c r="O136" s="104"/>
      <c r="P136" s="104"/>
      <c r="Q136" s="104"/>
      <c r="R136" s="104"/>
      <c r="S136" s="104"/>
      <c r="T136" s="104"/>
    </row>
    <row r="137" spans="3:20" x14ac:dyDescent="0.3">
      <c r="C137" s="104"/>
      <c r="D137" s="104"/>
      <c r="E137" s="104"/>
      <c r="F137" s="104"/>
      <c r="G137" s="104"/>
      <c r="H137" s="104"/>
      <c r="I137" s="104"/>
      <c r="J137" s="104"/>
      <c r="K137" s="104"/>
      <c r="L137" s="104"/>
      <c r="M137" s="104"/>
      <c r="N137" s="104"/>
      <c r="O137" s="104"/>
      <c r="P137" s="104"/>
      <c r="Q137" s="104"/>
      <c r="R137" s="104"/>
      <c r="S137" s="104"/>
      <c r="T137" s="104"/>
    </row>
    <row r="138" spans="3:20" x14ac:dyDescent="0.3">
      <c r="C138" s="104"/>
      <c r="D138" s="104"/>
      <c r="E138" s="104"/>
      <c r="F138" s="104"/>
      <c r="G138" s="104"/>
      <c r="H138" s="104"/>
      <c r="I138" s="104"/>
      <c r="J138" s="104"/>
      <c r="K138" s="104"/>
      <c r="L138" s="104"/>
      <c r="M138" s="104"/>
      <c r="N138" s="104"/>
      <c r="O138" s="104"/>
      <c r="P138" s="104"/>
      <c r="Q138" s="104"/>
      <c r="R138" s="104"/>
      <c r="S138" s="104"/>
      <c r="T138" s="104"/>
    </row>
    <row r="139" spans="3:20" x14ac:dyDescent="0.3">
      <c r="C139" s="104"/>
      <c r="D139" s="104"/>
      <c r="E139" s="104"/>
      <c r="F139" s="104"/>
      <c r="G139" s="104"/>
      <c r="H139" s="104"/>
      <c r="I139" s="104"/>
      <c r="J139" s="104"/>
      <c r="K139" s="104"/>
      <c r="L139" s="104"/>
      <c r="M139" s="104"/>
      <c r="N139" s="104"/>
      <c r="O139" s="104"/>
      <c r="P139" s="104"/>
      <c r="Q139" s="104"/>
      <c r="R139" s="104"/>
      <c r="S139" s="104"/>
      <c r="T139" s="104"/>
    </row>
    <row r="140" spans="3:20" x14ac:dyDescent="0.3">
      <c r="C140" s="104"/>
      <c r="D140" s="104"/>
      <c r="E140" s="104"/>
      <c r="F140" s="104"/>
      <c r="G140" s="104"/>
      <c r="H140" s="104"/>
      <c r="I140" s="104"/>
      <c r="J140" s="104"/>
      <c r="K140" s="104"/>
      <c r="L140" s="104"/>
      <c r="M140" s="104"/>
      <c r="N140" s="104"/>
      <c r="O140" s="104"/>
      <c r="P140" s="104"/>
      <c r="Q140" s="104"/>
      <c r="R140" s="104"/>
      <c r="S140" s="104"/>
      <c r="T140" s="104"/>
    </row>
    <row r="141" spans="3:20" x14ac:dyDescent="0.3">
      <c r="C141" s="104"/>
      <c r="D141" s="104"/>
      <c r="E141" s="104"/>
      <c r="F141" s="104"/>
      <c r="G141" s="104"/>
      <c r="H141" s="104"/>
      <c r="I141" s="104"/>
      <c r="J141" s="104"/>
      <c r="K141" s="104"/>
      <c r="L141" s="104"/>
      <c r="M141" s="104"/>
      <c r="N141" s="104"/>
      <c r="O141" s="104"/>
      <c r="P141" s="104"/>
      <c r="Q141" s="104"/>
      <c r="R141" s="104"/>
      <c r="S141" s="104"/>
      <c r="T141" s="104"/>
    </row>
    <row r="142" spans="3:20" x14ac:dyDescent="0.3">
      <c r="C142" s="104"/>
      <c r="D142" s="104"/>
      <c r="E142" s="104"/>
      <c r="F142" s="104"/>
      <c r="G142" s="104"/>
      <c r="H142" s="104"/>
      <c r="I142" s="104"/>
      <c r="J142" s="104"/>
      <c r="K142" s="104"/>
      <c r="L142" s="104"/>
      <c r="M142" s="104"/>
      <c r="N142" s="104"/>
      <c r="O142" s="104"/>
      <c r="P142" s="104"/>
      <c r="Q142" s="104"/>
      <c r="R142" s="104"/>
      <c r="S142" s="104"/>
      <c r="T142" s="104"/>
    </row>
    <row r="143" spans="3:20" x14ac:dyDescent="0.3">
      <c r="C143" s="104"/>
      <c r="D143" s="104"/>
      <c r="E143" s="104"/>
      <c r="F143" s="104"/>
      <c r="G143" s="104"/>
      <c r="H143" s="104"/>
      <c r="I143" s="104"/>
      <c r="J143" s="104"/>
      <c r="K143" s="104"/>
      <c r="L143" s="104"/>
      <c r="M143" s="104"/>
      <c r="N143" s="104"/>
      <c r="O143" s="104"/>
      <c r="P143" s="104"/>
      <c r="Q143" s="104"/>
      <c r="R143" s="104"/>
      <c r="S143" s="104"/>
      <c r="T143" s="104"/>
    </row>
    <row r="144" spans="3:20" x14ac:dyDescent="0.3">
      <c r="C144" s="104"/>
      <c r="D144" s="104"/>
      <c r="E144" s="104"/>
      <c r="F144" s="104"/>
      <c r="G144" s="104"/>
      <c r="H144" s="104"/>
      <c r="I144" s="104"/>
      <c r="J144" s="104"/>
      <c r="K144" s="104"/>
      <c r="L144" s="104"/>
      <c r="M144" s="104"/>
      <c r="N144" s="104"/>
      <c r="O144" s="104"/>
      <c r="P144" s="104"/>
      <c r="Q144" s="104"/>
      <c r="R144" s="104"/>
      <c r="S144" s="104"/>
      <c r="T144" s="104"/>
    </row>
    <row r="145" spans="3:20" x14ac:dyDescent="0.3">
      <c r="C145" s="104"/>
      <c r="D145" s="104"/>
      <c r="E145" s="104"/>
      <c r="F145" s="104"/>
      <c r="G145" s="104"/>
      <c r="H145" s="104"/>
      <c r="I145" s="104"/>
      <c r="J145" s="104"/>
      <c r="K145" s="104"/>
      <c r="L145" s="104"/>
      <c r="M145" s="104"/>
      <c r="N145" s="104"/>
      <c r="O145" s="104"/>
      <c r="P145" s="104"/>
      <c r="Q145" s="104"/>
      <c r="R145" s="104"/>
      <c r="S145" s="104"/>
      <c r="T145" s="104"/>
    </row>
    <row r="146" spans="3:20" x14ac:dyDescent="0.3">
      <c r="C146" s="104"/>
      <c r="D146" s="104"/>
      <c r="E146" s="104"/>
      <c r="F146" s="104"/>
      <c r="G146" s="104"/>
      <c r="H146" s="104"/>
      <c r="I146" s="104"/>
      <c r="J146" s="104"/>
      <c r="K146" s="104"/>
      <c r="L146" s="104"/>
      <c r="M146" s="104"/>
      <c r="N146" s="104"/>
      <c r="O146" s="104"/>
      <c r="P146" s="104"/>
      <c r="Q146" s="104"/>
      <c r="R146" s="104"/>
      <c r="S146" s="104"/>
      <c r="T146" s="104"/>
    </row>
    <row r="147" spans="3:20" x14ac:dyDescent="0.3">
      <c r="C147" s="104"/>
      <c r="D147" s="104"/>
      <c r="E147" s="104"/>
      <c r="F147" s="104"/>
      <c r="G147" s="104"/>
      <c r="H147" s="104"/>
      <c r="I147" s="104"/>
      <c r="J147" s="104"/>
      <c r="K147" s="104"/>
      <c r="L147" s="104"/>
      <c r="M147" s="104"/>
      <c r="N147" s="104"/>
      <c r="O147" s="104"/>
      <c r="P147" s="104"/>
      <c r="Q147" s="104"/>
      <c r="R147" s="104"/>
      <c r="S147" s="104"/>
      <c r="T147" s="104"/>
    </row>
    <row r="148" spans="3:20" x14ac:dyDescent="0.3">
      <c r="C148" s="104"/>
      <c r="D148" s="104"/>
      <c r="E148" s="104"/>
      <c r="F148" s="104"/>
      <c r="G148" s="104"/>
      <c r="H148" s="104"/>
      <c r="I148" s="104"/>
      <c r="J148" s="104"/>
      <c r="K148" s="104"/>
      <c r="L148" s="104"/>
      <c r="M148" s="104"/>
      <c r="N148" s="104"/>
      <c r="O148" s="104"/>
      <c r="P148" s="104"/>
      <c r="Q148" s="104"/>
      <c r="R148" s="104"/>
      <c r="S148" s="104"/>
      <c r="T148" s="104"/>
    </row>
    <row r="149" spans="3:20" x14ac:dyDescent="0.3">
      <c r="C149" s="104"/>
      <c r="D149" s="104"/>
      <c r="E149" s="104"/>
      <c r="F149" s="104"/>
      <c r="G149" s="104"/>
      <c r="H149" s="104"/>
      <c r="I149" s="104"/>
      <c r="J149" s="104"/>
      <c r="K149" s="104"/>
      <c r="L149" s="104"/>
      <c r="M149" s="104"/>
      <c r="N149" s="104"/>
      <c r="O149" s="104"/>
      <c r="P149" s="104"/>
      <c r="Q149" s="104"/>
      <c r="R149" s="104"/>
      <c r="S149" s="104"/>
      <c r="T149" s="104"/>
    </row>
    <row r="150" spans="3:20" x14ac:dyDescent="0.3">
      <c r="C150" s="104"/>
      <c r="D150" s="104"/>
      <c r="E150" s="104"/>
      <c r="F150" s="104"/>
      <c r="G150" s="104"/>
      <c r="H150" s="104"/>
      <c r="I150" s="104"/>
      <c r="J150" s="104"/>
      <c r="K150" s="104"/>
      <c r="L150" s="104"/>
      <c r="M150" s="104"/>
      <c r="N150" s="104"/>
      <c r="O150" s="104"/>
      <c r="P150" s="104"/>
      <c r="Q150" s="104"/>
      <c r="R150" s="104"/>
      <c r="S150" s="104"/>
      <c r="T150" s="104"/>
    </row>
    <row r="151" spans="3:20" x14ac:dyDescent="0.3">
      <c r="C151" s="104"/>
      <c r="D151" s="104"/>
      <c r="E151" s="104"/>
      <c r="F151" s="104"/>
      <c r="G151" s="104"/>
      <c r="H151" s="104"/>
      <c r="I151" s="104"/>
      <c r="J151" s="104"/>
      <c r="K151" s="104"/>
      <c r="L151" s="104"/>
      <c r="M151" s="104"/>
      <c r="N151" s="104"/>
      <c r="O151" s="104"/>
      <c r="P151" s="104"/>
      <c r="Q151" s="104"/>
      <c r="R151" s="104"/>
      <c r="S151" s="104"/>
      <c r="T151" s="104"/>
    </row>
    <row r="152" spans="3:20" x14ac:dyDescent="0.3">
      <c r="C152" s="104"/>
      <c r="D152" s="104"/>
      <c r="E152" s="104"/>
      <c r="F152" s="104"/>
      <c r="G152" s="104"/>
      <c r="H152" s="104"/>
      <c r="I152" s="104"/>
      <c r="J152" s="104"/>
      <c r="K152" s="104"/>
      <c r="L152" s="104"/>
      <c r="M152" s="104"/>
      <c r="N152" s="104"/>
      <c r="O152" s="104"/>
      <c r="P152" s="104"/>
      <c r="Q152" s="104"/>
      <c r="R152" s="104"/>
      <c r="S152" s="104"/>
      <c r="T152" s="104"/>
    </row>
    <row r="153" spans="3:20" x14ac:dyDescent="0.3">
      <c r="C153" s="104"/>
      <c r="D153" s="104"/>
      <c r="E153" s="104"/>
      <c r="F153" s="104"/>
      <c r="G153" s="104"/>
      <c r="H153" s="104"/>
      <c r="I153" s="104"/>
      <c r="J153" s="104"/>
      <c r="K153" s="104"/>
      <c r="L153" s="104"/>
      <c r="M153" s="104"/>
      <c r="N153" s="104"/>
      <c r="O153" s="104"/>
      <c r="P153" s="104"/>
      <c r="Q153" s="104"/>
      <c r="R153" s="104"/>
      <c r="S153" s="104"/>
      <c r="T153" s="104"/>
    </row>
    <row r="154" spans="3:20" x14ac:dyDescent="0.3">
      <c r="C154" s="104"/>
      <c r="D154" s="104"/>
      <c r="E154" s="104"/>
      <c r="F154" s="104"/>
      <c r="G154" s="104"/>
      <c r="H154" s="104"/>
      <c r="I154" s="104"/>
      <c r="J154" s="104"/>
      <c r="K154" s="104"/>
      <c r="L154" s="104"/>
      <c r="M154" s="104"/>
      <c r="N154" s="104"/>
      <c r="O154" s="104"/>
      <c r="P154" s="104"/>
      <c r="Q154" s="104"/>
      <c r="R154" s="104"/>
      <c r="S154" s="104"/>
      <c r="T154" s="104"/>
    </row>
    <row r="155" spans="3:20" x14ac:dyDescent="0.3">
      <c r="C155" s="104"/>
      <c r="D155" s="104"/>
      <c r="E155" s="104"/>
      <c r="F155" s="104"/>
      <c r="G155" s="104"/>
      <c r="H155" s="104"/>
      <c r="I155" s="104"/>
      <c r="J155" s="104"/>
      <c r="K155" s="104"/>
      <c r="L155" s="104"/>
      <c r="M155" s="104"/>
      <c r="N155" s="104"/>
      <c r="O155" s="104"/>
      <c r="P155" s="104"/>
      <c r="Q155" s="104"/>
      <c r="R155" s="104"/>
      <c r="S155" s="104"/>
      <c r="T155" s="104"/>
    </row>
    <row r="156" spans="3:20" x14ac:dyDescent="0.3">
      <c r="C156" s="104"/>
      <c r="D156" s="104"/>
      <c r="E156" s="104"/>
      <c r="F156" s="104"/>
      <c r="G156" s="104"/>
      <c r="H156" s="104"/>
      <c r="I156" s="104"/>
      <c r="J156" s="104"/>
      <c r="K156" s="104"/>
      <c r="L156" s="104"/>
      <c r="M156" s="104"/>
      <c r="N156" s="104"/>
      <c r="O156" s="104"/>
      <c r="P156" s="104"/>
      <c r="Q156" s="104"/>
      <c r="R156" s="104"/>
      <c r="S156" s="104"/>
      <c r="T156" s="104"/>
    </row>
    <row r="157" spans="3:20" x14ac:dyDescent="0.3">
      <c r="C157" s="104"/>
      <c r="D157" s="104"/>
      <c r="E157" s="104"/>
      <c r="F157" s="104"/>
      <c r="G157" s="104"/>
      <c r="H157" s="104"/>
      <c r="I157" s="104"/>
      <c r="J157" s="104"/>
      <c r="K157" s="104"/>
      <c r="L157" s="104"/>
      <c r="M157" s="104"/>
      <c r="N157" s="104"/>
      <c r="O157" s="104"/>
      <c r="P157" s="104"/>
      <c r="Q157" s="104"/>
      <c r="R157" s="104"/>
      <c r="S157" s="104"/>
      <c r="T157" s="104"/>
    </row>
    <row r="158" spans="3:20" x14ac:dyDescent="0.3">
      <c r="C158" s="104"/>
      <c r="D158" s="104"/>
      <c r="E158" s="104"/>
      <c r="F158" s="104"/>
      <c r="G158" s="104"/>
      <c r="H158" s="104"/>
      <c r="I158" s="104"/>
      <c r="J158" s="104"/>
      <c r="K158" s="104"/>
      <c r="L158" s="104"/>
      <c r="M158" s="104"/>
      <c r="N158" s="104"/>
      <c r="O158" s="104"/>
      <c r="P158" s="104"/>
      <c r="Q158" s="104"/>
      <c r="R158" s="104"/>
      <c r="S158" s="104"/>
      <c r="T158" s="104"/>
    </row>
    <row r="159" spans="3:20" x14ac:dyDescent="0.3">
      <c r="C159" s="104"/>
      <c r="D159" s="104"/>
      <c r="E159" s="104"/>
      <c r="F159" s="104"/>
      <c r="G159" s="104"/>
      <c r="H159" s="104"/>
      <c r="I159" s="104"/>
      <c r="J159" s="104"/>
      <c r="K159" s="104"/>
      <c r="L159" s="104"/>
      <c r="M159" s="104"/>
      <c r="N159" s="104"/>
      <c r="O159" s="104"/>
      <c r="P159" s="104"/>
      <c r="Q159" s="104"/>
      <c r="R159" s="104"/>
      <c r="S159" s="104"/>
      <c r="T159" s="104"/>
    </row>
    <row r="160" spans="3:20" x14ac:dyDescent="0.3">
      <c r="C160" s="104"/>
      <c r="D160" s="104"/>
      <c r="E160" s="104"/>
      <c r="F160" s="104"/>
      <c r="G160" s="104"/>
      <c r="H160" s="104"/>
      <c r="I160" s="104"/>
      <c r="J160" s="104"/>
      <c r="K160" s="104"/>
      <c r="L160" s="104"/>
      <c r="M160" s="104"/>
      <c r="N160" s="104"/>
      <c r="O160" s="104"/>
      <c r="P160" s="104"/>
      <c r="Q160" s="104"/>
      <c r="R160" s="104"/>
      <c r="S160" s="104"/>
      <c r="T160" s="104"/>
    </row>
    <row r="161" spans="3:20" x14ac:dyDescent="0.3">
      <c r="C161" s="104"/>
      <c r="D161" s="104"/>
      <c r="E161" s="104"/>
      <c r="F161" s="104"/>
      <c r="G161" s="104"/>
      <c r="H161" s="104"/>
      <c r="I161" s="104"/>
      <c r="J161" s="104"/>
      <c r="K161" s="104"/>
      <c r="L161" s="104"/>
      <c r="M161" s="104"/>
      <c r="N161" s="104"/>
      <c r="O161" s="104"/>
      <c r="P161" s="104"/>
      <c r="Q161" s="104"/>
      <c r="R161" s="104"/>
      <c r="S161" s="104"/>
      <c r="T161" s="104"/>
    </row>
    <row r="162" spans="3:20" x14ac:dyDescent="0.3">
      <c r="C162" s="104"/>
      <c r="D162" s="104"/>
      <c r="E162" s="104"/>
      <c r="F162" s="104"/>
      <c r="G162" s="104"/>
      <c r="H162" s="104"/>
      <c r="I162" s="104"/>
      <c r="J162" s="104"/>
      <c r="K162" s="104"/>
      <c r="L162" s="104"/>
      <c r="M162" s="104"/>
      <c r="N162" s="104"/>
      <c r="O162" s="104"/>
      <c r="P162" s="104"/>
      <c r="Q162" s="104"/>
      <c r="R162" s="104"/>
      <c r="S162" s="104"/>
      <c r="T162" s="104"/>
    </row>
    <row r="163" spans="3:20" x14ac:dyDescent="0.3">
      <c r="C163" s="104"/>
      <c r="D163" s="104"/>
      <c r="E163" s="104"/>
      <c r="F163" s="104"/>
      <c r="G163" s="104"/>
      <c r="H163" s="104"/>
      <c r="I163" s="104"/>
      <c r="J163" s="104"/>
      <c r="K163" s="104"/>
      <c r="L163" s="104"/>
      <c r="M163" s="104"/>
      <c r="N163" s="104"/>
      <c r="O163" s="104"/>
      <c r="P163" s="104"/>
      <c r="Q163" s="104"/>
      <c r="R163" s="104"/>
      <c r="S163" s="104"/>
      <c r="T163" s="104"/>
    </row>
    <row r="164" spans="3:20" x14ac:dyDescent="0.3">
      <c r="C164" s="104"/>
      <c r="D164" s="104"/>
      <c r="E164" s="104"/>
      <c r="F164" s="104"/>
      <c r="G164" s="104"/>
      <c r="H164" s="104"/>
      <c r="I164" s="104"/>
      <c r="J164" s="104"/>
      <c r="K164" s="104"/>
      <c r="L164" s="104"/>
      <c r="M164" s="104"/>
      <c r="N164" s="104"/>
      <c r="O164" s="104"/>
      <c r="P164" s="104"/>
      <c r="Q164" s="104"/>
      <c r="R164" s="104"/>
      <c r="S164" s="104"/>
      <c r="T164" s="104"/>
    </row>
    <row r="165" spans="3:20" x14ac:dyDescent="0.3">
      <c r="C165" s="104"/>
      <c r="D165" s="104"/>
      <c r="E165" s="104"/>
      <c r="F165" s="104"/>
      <c r="G165" s="104"/>
      <c r="H165" s="104"/>
      <c r="I165" s="104"/>
      <c r="J165" s="104"/>
      <c r="K165" s="104"/>
      <c r="L165" s="104"/>
      <c r="M165" s="104"/>
      <c r="N165" s="104"/>
      <c r="O165" s="104"/>
      <c r="P165" s="104"/>
      <c r="Q165" s="104"/>
      <c r="R165" s="104"/>
      <c r="S165" s="104"/>
      <c r="T165" s="104"/>
    </row>
    <row r="166" spans="3:20" x14ac:dyDescent="0.3">
      <c r="C166" s="104"/>
      <c r="D166" s="104"/>
      <c r="E166" s="104"/>
      <c r="F166" s="104"/>
      <c r="G166" s="104"/>
      <c r="H166" s="104"/>
      <c r="I166" s="104"/>
      <c r="J166" s="104"/>
      <c r="K166" s="104"/>
      <c r="L166" s="104"/>
      <c r="M166" s="104"/>
      <c r="N166" s="104"/>
      <c r="O166" s="104"/>
      <c r="P166" s="104"/>
      <c r="Q166" s="104"/>
      <c r="R166" s="104"/>
      <c r="S166" s="104"/>
      <c r="T166" s="104"/>
    </row>
    <row r="167" spans="3:20" x14ac:dyDescent="0.3">
      <c r="C167" s="104"/>
      <c r="D167" s="104"/>
      <c r="E167" s="104"/>
      <c r="F167" s="104"/>
      <c r="G167" s="104"/>
      <c r="H167" s="104"/>
      <c r="I167" s="104"/>
      <c r="J167" s="104"/>
      <c r="K167" s="104"/>
      <c r="L167" s="104"/>
      <c r="M167" s="104"/>
      <c r="N167" s="104"/>
      <c r="O167" s="104"/>
      <c r="P167" s="104"/>
      <c r="Q167" s="104"/>
      <c r="R167" s="104"/>
      <c r="S167" s="104"/>
      <c r="T167" s="104"/>
    </row>
    <row r="168" spans="3:20" x14ac:dyDescent="0.3">
      <c r="C168" s="104"/>
      <c r="D168" s="104"/>
      <c r="E168" s="104"/>
      <c r="F168" s="104"/>
      <c r="G168" s="104"/>
      <c r="H168" s="104"/>
      <c r="I168" s="104"/>
      <c r="J168" s="104"/>
      <c r="K168" s="104"/>
      <c r="L168" s="104"/>
      <c r="M168" s="104"/>
      <c r="N168" s="104"/>
      <c r="O168" s="104"/>
      <c r="P168" s="104"/>
      <c r="Q168" s="104"/>
      <c r="R168" s="104"/>
      <c r="S168" s="104"/>
      <c r="T168" s="104"/>
    </row>
    <row r="169" spans="3:20" x14ac:dyDescent="0.3">
      <c r="C169" s="104"/>
      <c r="D169" s="104"/>
      <c r="E169" s="104"/>
      <c r="F169" s="104"/>
      <c r="G169" s="104"/>
      <c r="H169" s="104"/>
      <c r="I169" s="104"/>
      <c r="J169" s="104"/>
      <c r="K169" s="104"/>
      <c r="L169" s="104"/>
      <c r="M169" s="104"/>
      <c r="N169" s="104"/>
      <c r="O169" s="104"/>
      <c r="P169" s="104"/>
      <c r="Q169" s="104"/>
      <c r="R169" s="104"/>
      <c r="S169" s="104"/>
      <c r="T169" s="104"/>
    </row>
    <row r="170" spans="3:20" x14ac:dyDescent="0.3">
      <c r="C170" s="104"/>
      <c r="D170" s="104"/>
      <c r="E170" s="104"/>
      <c r="F170" s="104"/>
      <c r="G170" s="104"/>
      <c r="H170" s="104"/>
      <c r="I170" s="104"/>
      <c r="J170" s="104"/>
      <c r="K170" s="104"/>
      <c r="L170" s="104"/>
      <c r="M170" s="104"/>
      <c r="N170" s="104"/>
      <c r="O170" s="104"/>
      <c r="P170" s="104"/>
      <c r="Q170" s="104"/>
      <c r="R170" s="104"/>
      <c r="S170" s="104"/>
      <c r="T170" s="104"/>
    </row>
    <row r="171" spans="3:20" x14ac:dyDescent="0.3">
      <c r="C171" s="104"/>
      <c r="D171" s="104"/>
      <c r="E171" s="104"/>
      <c r="F171" s="104"/>
      <c r="G171" s="104"/>
      <c r="H171" s="104"/>
      <c r="I171" s="104"/>
      <c r="J171" s="104"/>
      <c r="K171" s="104"/>
      <c r="L171" s="104"/>
      <c r="M171" s="104"/>
      <c r="N171" s="104"/>
      <c r="O171" s="104"/>
      <c r="P171" s="104"/>
      <c r="Q171" s="104"/>
      <c r="R171" s="104"/>
      <c r="S171" s="104"/>
      <c r="T171" s="104"/>
    </row>
    <row r="172" spans="3:20" x14ac:dyDescent="0.3">
      <c r="C172" s="104"/>
      <c r="D172" s="104"/>
      <c r="E172" s="104"/>
      <c r="F172" s="104"/>
      <c r="G172" s="104"/>
      <c r="H172" s="104"/>
      <c r="I172" s="104"/>
      <c r="J172" s="104"/>
      <c r="K172" s="104"/>
      <c r="L172" s="104"/>
      <c r="M172" s="104"/>
      <c r="N172" s="104"/>
      <c r="O172" s="104"/>
      <c r="P172" s="104"/>
      <c r="Q172" s="104"/>
      <c r="R172" s="104"/>
      <c r="S172" s="104"/>
      <c r="T172" s="104"/>
    </row>
    <row r="173" spans="3:20" x14ac:dyDescent="0.3">
      <c r="C173" s="104"/>
      <c r="D173" s="104"/>
      <c r="E173" s="104"/>
      <c r="F173" s="104"/>
      <c r="G173" s="104"/>
      <c r="H173" s="104"/>
      <c r="I173" s="104"/>
      <c r="J173" s="104"/>
      <c r="K173" s="104"/>
      <c r="L173" s="104"/>
      <c r="M173" s="104"/>
      <c r="N173" s="104"/>
      <c r="O173" s="104"/>
      <c r="P173" s="104"/>
      <c r="Q173" s="104"/>
      <c r="R173" s="104"/>
      <c r="S173" s="104"/>
      <c r="T173" s="104"/>
    </row>
    <row r="174" spans="3:20" x14ac:dyDescent="0.3">
      <c r="C174" s="104"/>
      <c r="D174" s="104"/>
      <c r="E174" s="104"/>
      <c r="F174" s="104"/>
      <c r="G174" s="104"/>
      <c r="H174" s="104"/>
      <c r="I174" s="104"/>
      <c r="J174" s="104"/>
      <c r="K174" s="104"/>
      <c r="L174" s="104"/>
      <c r="M174" s="104"/>
      <c r="N174" s="104"/>
      <c r="O174" s="104"/>
      <c r="P174" s="104"/>
      <c r="Q174" s="104"/>
      <c r="R174" s="104"/>
      <c r="S174" s="104"/>
      <c r="T174" s="104"/>
    </row>
    <row r="175" spans="3:20" x14ac:dyDescent="0.3">
      <c r="C175" s="104"/>
      <c r="D175" s="104"/>
      <c r="E175" s="104"/>
      <c r="F175" s="104"/>
      <c r="G175" s="104"/>
      <c r="H175" s="104"/>
      <c r="I175" s="104"/>
      <c r="J175" s="104"/>
      <c r="K175" s="104"/>
      <c r="L175" s="104"/>
      <c r="M175" s="104"/>
      <c r="N175" s="104"/>
      <c r="O175" s="104"/>
      <c r="P175" s="104"/>
      <c r="Q175" s="104"/>
      <c r="R175" s="104"/>
      <c r="S175" s="104"/>
      <c r="T175" s="104"/>
    </row>
    <row r="176" spans="3:20" x14ac:dyDescent="0.3">
      <c r="C176" s="104"/>
      <c r="D176" s="104"/>
      <c r="E176" s="104"/>
      <c r="F176" s="104"/>
      <c r="G176" s="104"/>
      <c r="H176" s="104"/>
      <c r="I176" s="104"/>
      <c r="J176" s="104"/>
      <c r="K176" s="104"/>
      <c r="L176" s="104"/>
      <c r="M176" s="104"/>
      <c r="N176" s="104"/>
      <c r="O176" s="104"/>
      <c r="P176" s="104"/>
      <c r="Q176" s="104"/>
      <c r="R176" s="104"/>
      <c r="S176" s="104"/>
      <c r="T176" s="104"/>
    </row>
    <row r="177" spans="3:20" x14ac:dyDescent="0.3">
      <c r="C177" s="104"/>
      <c r="D177" s="104"/>
      <c r="E177" s="104"/>
      <c r="F177" s="104"/>
      <c r="G177" s="104"/>
      <c r="H177" s="104"/>
      <c r="I177" s="104"/>
      <c r="J177" s="104"/>
      <c r="K177" s="104"/>
      <c r="L177" s="104"/>
      <c r="M177" s="104"/>
      <c r="N177" s="104"/>
      <c r="O177" s="104"/>
      <c r="P177" s="104"/>
      <c r="Q177" s="104"/>
      <c r="R177" s="104"/>
      <c r="S177" s="104"/>
      <c r="T177" s="104"/>
    </row>
  </sheetData>
  <mergeCells count="14">
    <mergeCell ref="C79:D79"/>
    <mergeCell ref="C88:D88"/>
    <mergeCell ref="C97:D97"/>
    <mergeCell ref="C100:M100"/>
    <mergeCell ref="C34:D34"/>
    <mergeCell ref="C43:D43"/>
    <mergeCell ref="C52:D52"/>
    <mergeCell ref="C61:D61"/>
    <mergeCell ref="C70:D70"/>
    <mergeCell ref="C4:H4"/>
    <mergeCell ref="C5:H5"/>
    <mergeCell ref="C6:H7"/>
    <mergeCell ref="C16:D16"/>
    <mergeCell ref="C25:D25"/>
  </mergeCells>
  <phoneticPr fontId="9"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'Support sheet '!$E$16:$E$18</xm:f>
          </x14:formula1>
          <xm:sqref>D11:D15 D20:D24 D92:D96 D38:D42 D47:D51 D56:D60 D65:D69 D74:D78 D83:D87 D29:D33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R126"/>
  <sheetViews>
    <sheetView topLeftCell="B100" zoomScale="85" zoomScaleNormal="85" workbookViewId="0">
      <selection activeCell="I115" sqref="I115"/>
    </sheetView>
  </sheetViews>
  <sheetFormatPr defaultColWidth="11" defaultRowHeight="15.6" x14ac:dyDescent="0.3"/>
  <cols>
    <col min="2" max="2" width="4.5" customWidth="1"/>
    <col min="3" max="3" width="33.69921875" customWidth="1"/>
    <col min="4" max="4" width="20.19921875" customWidth="1"/>
    <col min="5" max="5" width="22.69921875" customWidth="1"/>
    <col min="6" max="6" width="21.19921875" customWidth="1"/>
    <col min="7" max="8" width="17.19921875" customWidth="1"/>
    <col min="9" max="9" width="11.19921875" customWidth="1"/>
    <col min="10" max="10" width="9.69921875" customWidth="1"/>
    <col min="11" max="13" width="12.19921875" bestFit="1" customWidth="1"/>
    <col min="15" max="15" width="12.59765625" customWidth="1"/>
  </cols>
  <sheetData>
    <row r="1" spans="3:13" ht="16.2" thickBot="1" x14ac:dyDescent="0.35"/>
    <row r="2" spans="3:13" x14ac:dyDescent="0.3">
      <c r="C2" s="251" t="s">
        <v>309</v>
      </c>
      <c r="D2" s="252"/>
      <c r="E2" s="252"/>
      <c r="F2" s="252"/>
      <c r="G2" s="252"/>
      <c r="H2" s="252"/>
      <c r="I2" s="252"/>
      <c r="J2" s="252"/>
      <c r="K2" s="252"/>
      <c r="L2" s="252"/>
      <c r="M2" s="253"/>
    </row>
    <row r="3" spans="3:13" x14ac:dyDescent="0.3">
      <c r="C3" s="254"/>
      <c r="D3" s="255"/>
      <c r="E3" s="255"/>
      <c r="F3" s="255"/>
      <c r="G3" s="255"/>
      <c r="H3" s="255"/>
      <c r="I3" s="255"/>
      <c r="J3" s="255"/>
      <c r="K3" s="255"/>
      <c r="L3" s="255"/>
      <c r="M3" s="256"/>
    </row>
    <row r="4" spans="3:13" ht="91.95" customHeight="1" thickBot="1" x14ac:dyDescent="0.35">
      <c r="C4" s="257"/>
      <c r="D4" s="258"/>
      <c r="E4" s="258"/>
      <c r="F4" s="258"/>
      <c r="G4" s="258"/>
      <c r="H4" s="258"/>
      <c r="I4" s="258"/>
      <c r="J4" s="258"/>
      <c r="K4" s="258"/>
      <c r="L4" s="258"/>
      <c r="M4" s="259"/>
    </row>
    <row r="6" spans="3:13" ht="16.2" thickBot="1" x14ac:dyDescent="0.35"/>
    <row r="7" spans="3:13" x14ac:dyDescent="0.3">
      <c r="C7" s="53"/>
      <c r="D7" s="54" t="s">
        <v>115</v>
      </c>
      <c r="E7" s="54" t="s">
        <v>116</v>
      </c>
      <c r="F7" s="54" t="s">
        <v>117</v>
      </c>
      <c r="G7" s="54" t="s">
        <v>118</v>
      </c>
      <c r="H7" s="54" t="s">
        <v>119</v>
      </c>
      <c r="I7" s="54" t="s">
        <v>120</v>
      </c>
      <c r="J7" s="54" t="s">
        <v>121</v>
      </c>
      <c r="K7" s="54" t="s">
        <v>122</v>
      </c>
      <c r="L7" s="54" t="s">
        <v>123</v>
      </c>
      <c r="M7" s="55" t="s">
        <v>124</v>
      </c>
    </row>
    <row r="8" spans="3:13" x14ac:dyDescent="0.3">
      <c r="C8" s="74" t="s">
        <v>310</v>
      </c>
      <c r="D8" s="73" t="str">
        <f>'3-Hazard Assessment'!B14</f>
        <v>Dengue</v>
      </c>
      <c r="E8" s="73" t="str">
        <f>'3-Hazard Assessment'!C14</f>
        <v>Cholera</v>
      </c>
      <c r="F8" s="73" t="str">
        <f>'3-Hazard Assessment'!D14</f>
        <v>Malaria</v>
      </c>
      <c r="G8" s="73" t="str">
        <f>'3-Hazard Assessment'!E14</f>
        <v>VHF</v>
      </c>
      <c r="H8" s="73" t="str">
        <f>'3-Hazard Assessment'!F14</f>
        <v>Covid-19</v>
      </c>
      <c r="I8" s="73" t="str">
        <f>'3-Hazard Assessment'!G14</f>
        <v>Influenza</v>
      </c>
      <c r="J8" s="73" t="str">
        <f>'3-Hazard Assessment'!H14</f>
        <v>Mass Casualities</v>
      </c>
      <c r="K8" s="73" t="str">
        <f>'3-Hazard Assessment'!I14</f>
        <v>Chemical</v>
      </c>
      <c r="L8" s="73" t="str">
        <f>'3-Hazard Assessment'!J14</f>
        <v>Radiological</v>
      </c>
      <c r="M8" s="73" t="str">
        <f>'3-Hazard Assessment'!K14</f>
        <v>Physical</v>
      </c>
    </row>
    <row r="9" spans="3:13" x14ac:dyDescent="0.3">
      <c r="C9" s="56" t="s">
        <v>311</v>
      </c>
      <c r="D9" s="17">
        <f>'4- Vulnerabilty Assessment'!D103</f>
        <v>5</v>
      </c>
      <c r="E9" s="17">
        <f>'4- Vulnerabilty Assessment'!E103</f>
        <v>5</v>
      </c>
      <c r="F9" s="17">
        <f>'4- Vulnerabilty Assessment'!F103</f>
        <v>5</v>
      </c>
      <c r="G9" s="17">
        <f>'4- Vulnerabilty Assessment'!G103</f>
        <v>5</v>
      </c>
      <c r="H9" s="17">
        <f>'4- Vulnerabilty Assessment'!H103</f>
        <v>4</v>
      </c>
      <c r="I9" s="17">
        <f>'4- Vulnerabilty Assessment'!I103</f>
        <v>5</v>
      </c>
      <c r="J9" s="17">
        <f>'4- Vulnerabilty Assessment'!J103</f>
        <v>2</v>
      </c>
      <c r="K9" s="17">
        <f>'4- Vulnerabilty Assessment'!K103</f>
        <v>4</v>
      </c>
      <c r="L9" s="17">
        <f>'4- Vulnerabilty Assessment'!L103</f>
        <v>4</v>
      </c>
      <c r="M9" s="52">
        <f>'4- Vulnerabilty Assessment'!M103</f>
        <v>4</v>
      </c>
    </row>
    <row r="10" spans="3:13" x14ac:dyDescent="0.3">
      <c r="C10" s="56" t="s">
        <v>312</v>
      </c>
      <c r="D10" s="17">
        <f>'5- Severity Assessment '!C81</f>
        <v>3</v>
      </c>
      <c r="E10" s="17">
        <f>'5- Severity Assessment '!D81</f>
        <v>5</v>
      </c>
      <c r="F10" s="17">
        <f>'5- Severity Assessment '!E81</f>
        <v>2</v>
      </c>
      <c r="G10" s="17">
        <f>'5- Severity Assessment '!F81</f>
        <v>3</v>
      </c>
      <c r="H10" s="17">
        <f>'5- Severity Assessment '!G81</f>
        <v>2</v>
      </c>
      <c r="I10" s="17">
        <f>'5- Severity Assessment '!H81</f>
        <v>1</v>
      </c>
      <c r="J10" s="17">
        <f>'5- Severity Assessment '!I81</f>
        <v>3</v>
      </c>
      <c r="K10" s="17">
        <f>'5- Severity Assessment '!J81</f>
        <v>2</v>
      </c>
      <c r="L10" s="17">
        <f ca="1">'5- Severity Assessment '!K81</f>
        <v>3</v>
      </c>
      <c r="M10" s="52">
        <f>'5- Severity Assessment '!L81</f>
        <v>4</v>
      </c>
    </row>
    <row r="11" spans="3:13" x14ac:dyDescent="0.3">
      <c r="C11" s="56" t="s">
        <v>313</v>
      </c>
      <c r="D11" s="17" t="str">
        <f>' 6-Capacity Assessment'!$E$96</f>
        <v>3</v>
      </c>
      <c r="E11" s="17" t="str">
        <f>' 6-Capacity Assessment'!$E$96</f>
        <v>3</v>
      </c>
      <c r="F11" s="17" t="str">
        <f>' 6-Capacity Assessment'!$E$96</f>
        <v>3</v>
      </c>
      <c r="G11" s="17" t="str">
        <f>' 6-Capacity Assessment'!$E$96</f>
        <v>3</v>
      </c>
      <c r="H11" s="17" t="str">
        <f>' 6-Capacity Assessment'!$E$96</f>
        <v>3</v>
      </c>
      <c r="I11" s="17" t="str">
        <f>' 6-Capacity Assessment'!$E$96</f>
        <v>3</v>
      </c>
      <c r="J11" s="17" t="str">
        <f>' 6-Capacity Assessment'!$E$96</f>
        <v>3</v>
      </c>
      <c r="K11" s="17" t="str">
        <f>' 6-Capacity Assessment'!$E$96</f>
        <v>3</v>
      </c>
      <c r="L11" s="17" t="str">
        <f>' 6-Capacity Assessment'!$E$96</f>
        <v>3</v>
      </c>
      <c r="M11" s="52" t="str">
        <f>' 6-Capacity Assessment'!$E$96</f>
        <v>3</v>
      </c>
    </row>
    <row r="12" spans="3:13" x14ac:dyDescent="0.3">
      <c r="C12" s="56" t="s">
        <v>314</v>
      </c>
      <c r="D12" s="84">
        <f>(D9+D10+D11)/3</f>
        <v>3.6666666666666665</v>
      </c>
      <c r="E12" s="84">
        <f t="shared" ref="E12:M12" si="0">(E9+E10+E11)/3</f>
        <v>4.333333333333333</v>
      </c>
      <c r="F12" s="84">
        <f t="shared" si="0"/>
        <v>3.3333333333333335</v>
      </c>
      <c r="G12" s="84">
        <f t="shared" si="0"/>
        <v>3.6666666666666665</v>
      </c>
      <c r="H12" s="84">
        <f t="shared" si="0"/>
        <v>3</v>
      </c>
      <c r="I12" s="84">
        <f t="shared" si="0"/>
        <v>3</v>
      </c>
      <c r="J12" s="84">
        <f t="shared" si="0"/>
        <v>2.6666666666666665</v>
      </c>
      <c r="K12" s="84">
        <f t="shared" si="0"/>
        <v>3</v>
      </c>
      <c r="L12" s="84">
        <f t="shared" ca="1" si="0"/>
        <v>3</v>
      </c>
      <c r="M12" s="85">
        <f t="shared" si="0"/>
        <v>3.6666666666666665</v>
      </c>
    </row>
    <row r="13" spans="3:13" ht="1.95" customHeight="1" x14ac:dyDescent="0.3">
      <c r="C13" s="86" t="s">
        <v>128</v>
      </c>
      <c r="D13" s="83">
        <f>ROUND(D12,0)</f>
        <v>4</v>
      </c>
      <c r="E13" s="83">
        <f t="shared" ref="E13:M13" si="1">ROUND(E12,0)</f>
        <v>4</v>
      </c>
      <c r="F13" s="83">
        <f t="shared" si="1"/>
        <v>3</v>
      </c>
      <c r="G13" s="83">
        <f t="shared" si="1"/>
        <v>4</v>
      </c>
      <c r="H13" s="83">
        <f t="shared" si="1"/>
        <v>3</v>
      </c>
      <c r="I13" s="83">
        <f t="shared" si="1"/>
        <v>3</v>
      </c>
      <c r="J13" s="83">
        <f t="shared" si="1"/>
        <v>3</v>
      </c>
      <c r="K13" s="83">
        <f t="shared" si="1"/>
        <v>3</v>
      </c>
      <c r="L13" s="83">
        <f t="shared" ca="1" si="1"/>
        <v>3</v>
      </c>
      <c r="M13" s="83">
        <f t="shared" si="1"/>
        <v>4</v>
      </c>
    </row>
    <row r="14" spans="3:13" ht="39.6" customHeight="1" thickBot="1" x14ac:dyDescent="0.35">
      <c r="C14" s="57" t="s">
        <v>315</v>
      </c>
      <c r="D14" s="58" t="str">
        <f>IF(D13=1, "Very low",IF(D13=2,"Low",IF(D13=3,"Moderate",IF(D13=4,"High",IF(D13=5,"Very high")))))</f>
        <v>High</v>
      </c>
      <c r="E14" s="58" t="str">
        <f>IF(E13=1, "Very low",IF(E13=2,"Low",IF(E13=3,"Moderate",IF(E13=4,"High",IF(E13=5,"Very high")))))</f>
        <v>High</v>
      </c>
      <c r="F14" s="58" t="str">
        <f t="shared" ref="F14:M14" si="2">IF(F13=1, "Very low",IF(F13=2,"Low",IF(F13=3,"Moderate",IF(F13=4,"High",IF(F13=5,"Very high")))))</f>
        <v>Moderate</v>
      </c>
      <c r="G14" s="58" t="str">
        <f t="shared" si="2"/>
        <v>High</v>
      </c>
      <c r="H14" s="58" t="str">
        <f t="shared" si="2"/>
        <v>Moderate</v>
      </c>
      <c r="I14" s="58" t="str">
        <f t="shared" si="2"/>
        <v>Moderate</v>
      </c>
      <c r="J14" s="58" t="str">
        <f t="shared" si="2"/>
        <v>Moderate</v>
      </c>
      <c r="K14" s="58" t="str">
        <f t="shared" si="2"/>
        <v>Moderate</v>
      </c>
      <c r="L14" s="58" t="str">
        <f t="shared" ca="1" si="2"/>
        <v>Moderate</v>
      </c>
      <c r="M14" s="58" t="str">
        <f t="shared" si="2"/>
        <v>High</v>
      </c>
    </row>
    <row r="16" spans="3:13" ht="16.2" thickBot="1" x14ac:dyDescent="0.35"/>
    <row r="17" spans="3:13" x14ac:dyDescent="0.3">
      <c r="C17" s="72" t="s">
        <v>316</v>
      </c>
      <c r="D17" s="23">
        <f>'7- Likelihood Assessment '!D103</f>
        <v>2</v>
      </c>
      <c r="E17" s="23">
        <f>'7- Likelihood Assessment '!E103</f>
        <v>5</v>
      </c>
      <c r="F17" s="23">
        <f>'7- Likelihood Assessment '!F103</f>
        <v>2</v>
      </c>
      <c r="G17" s="23">
        <f>'7- Likelihood Assessment '!G103</f>
        <v>2</v>
      </c>
      <c r="H17" s="23">
        <f>'7- Likelihood Assessment '!H103</f>
        <v>5</v>
      </c>
      <c r="I17" s="23">
        <f>'7- Likelihood Assessment '!I103</f>
        <v>1</v>
      </c>
      <c r="J17" s="23">
        <f>'7- Likelihood Assessment '!J103</f>
        <v>1</v>
      </c>
      <c r="K17" s="23">
        <f>'7- Likelihood Assessment '!K103</f>
        <v>2</v>
      </c>
      <c r="L17" s="23">
        <f>'7- Likelihood Assessment '!L103</f>
        <v>1</v>
      </c>
      <c r="M17" s="24">
        <f>'7- Likelihood Assessment '!M103</f>
        <v>3</v>
      </c>
    </row>
    <row r="18" spans="3:13" ht="16.2" thickBot="1" x14ac:dyDescent="0.35">
      <c r="C18" s="57" t="s">
        <v>317</v>
      </c>
      <c r="D18" s="58" t="str">
        <f t="shared" ref="D18:M18" si="3">IF(D17=1,"Very Unlikely",IF(D17=2,"Unlikely",IF(D17=3,"Likely",IF(D17=4,"Very Likely",IF(D17=5,"Almost certain")))))</f>
        <v>Unlikely</v>
      </c>
      <c r="E18" s="58" t="str">
        <f t="shared" si="3"/>
        <v>Almost certain</v>
      </c>
      <c r="F18" s="58" t="str">
        <f t="shared" si="3"/>
        <v>Unlikely</v>
      </c>
      <c r="G18" s="58" t="str">
        <f t="shared" si="3"/>
        <v>Unlikely</v>
      </c>
      <c r="H18" s="58" t="str">
        <f t="shared" si="3"/>
        <v>Almost certain</v>
      </c>
      <c r="I18" s="58" t="str">
        <f t="shared" si="3"/>
        <v>Very Unlikely</v>
      </c>
      <c r="J18" s="58" t="str">
        <f t="shared" si="3"/>
        <v>Very Unlikely</v>
      </c>
      <c r="K18" s="58" t="str">
        <f t="shared" si="3"/>
        <v>Unlikely</v>
      </c>
      <c r="L18" s="58" t="str">
        <f t="shared" si="3"/>
        <v>Very Unlikely</v>
      </c>
      <c r="M18" s="59" t="str">
        <f t="shared" si="3"/>
        <v>Likely</v>
      </c>
    </row>
    <row r="20" spans="3:13" ht="16.2" thickBot="1" x14ac:dyDescent="0.35">
      <c r="C20" s="1" t="s">
        <v>129</v>
      </c>
    </row>
    <row r="21" spans="3:13" x14ac:dyDescent="0.3">
      <c r="C21" s="77" t="s">
        <v>130</v>
      </c>
      <c r="D21" s="61" t="s">
        <v>318</v>
      </c>
      <c r="E21" s="63"/>
      <c r="F21" s="63"/>
      <c r="G21" s="63"/>
      <c r="H21" s="64"/>
      <c r="I21" s="65"/>
    </row>
    <row r="22" spans="3:13" x14ac:dyDescent="0.3">
      <c r="C22" s="78"/>
      <c r="D22" s="9" t="s">
        <v>319</v>
      </c>
      <c r="E22" s="39"/>
      <c r="F22" s="39"/>
      <c r="G22" s="39"/>
      <c r="H22" s="38"/>
      <c r="I22" s="66"/>
    </row>
    <row r="23" spans="3:13" x14ac:dyDescent="0.3">
      <c r="C23" s="78"/>
      <c r="D23" s="9" t="s">
        <v>320</v>
      </c>
      <c r="E23" s="39"/>
      <c r="F23" s="39"/>
      <c r="G23" s="39"/>
      <c r="H23" s="39"/>
      <c r="I23" s="66"/>
    </row>
    <row r="24" spans="3:13" x14ac:dyDescent="0.3">
      <c r="C24" s="78"/>
      <c r="D24" s="9" t="s">
        <v>321</v>
      </c>
      <c r="E24" s="37"/>
      <c r="F24" s="37"/>
      <c r="G24" s="39"/>
      <c r="H24" s="39"/>
      <c r="I24" s="67"/>
    </row>
    <row r="25" spans="3:13" x14ac:dyDescent="0.3">
      <c r="C25" s="79"/>
      <c r="D25" s="9" t="s">
        <v>322</v>
      </c>
      <c r="E25" s="37"/>
      <c r="F25" s="37"/>
      <c r="G25" s="37"/>
      <c r="H25" s="39"/>
      <c r="I25" s="67"/>
    </row>
    <row r="26" spans="3:13" x14ac:dyDescent="0.3">
      <c r="C26" s="68"/>
      <c r="D26" s="9"/>
      <c r="E26" s="9" t="s">
        <v>136</v>
      </c>
      <c r="F26" s="9" t="s">
        <v>137</v>
      </c>
      <c r="G26" s="9" t="s">
        <v>138</v>
      </c>
      <c r="H26" s="9" t="s">
        <v>139</v>
      </c>
      <c r="I26" s="69" t="s">
        <v>140</v>
      </c>
    </row>
    <row r="27" spans="3:13" ht="16.2" thickBot="1" x14ac:dyDescent="0.35">
      <c r="C27" s="70"/>
      <c r="D27" s="71"/>
      <c r="E27" s="80" t="s">
        <v>323</v>
      </c>
      <c r="F27" s="81"/>
      <c r="G27" s="81"/>
      <c r="H27" s="81"/>
      <c r="I27" s="82"/>
    </row>
    <row r="28" spans="3:13" ht="15" customHeight="1" thickBot="1" x14ac:dyDescent="0.35"/>
    <row r="29" spans="3:13" ht="15" customHeight="1" thickBot="1" x14ac:dyDescent="0.35">
      <c r="C29" s="137" t="s">
        <v>142</v>
      </c>
      <c r="D29" s="125" t="str">
        <f>D8</f>
        <v>Dengue</v>
      </c>
    </row>
    <row r="30" spans="3:13" ht="15" customHeight="1" x14ac:dyDescent="0.3">
      <c r="C30" s="246" t="s">
        <v>130</v>
      </c>
      <c r="D30" s="124" t="s">
        <v>131</v>
      </c>
      <c r="E30" s="61"/>
      <c r="F30" s="61"/>
      <c r="G30" s="61"/>
      <c r="H30" s="61"/>
      <c r="I30" s="62"/>
    </row>
    <row r="31" spans="3:13" ht="15" customHeight="1" x14ac:dyDescent="0.3">
      <c r="C31" s="246"/>
      <c r="D31" s="9" t="s">
        <v>132</v>
      </c>
      <c r="E31" s="9"/>
      <c r="F31" s="9"/>
      <c r="G31" s="9"/>
      <c r="H31" s="9"/>
      <c r="I31" s="69"/>
    </row>
    <row r="32" spans="3:13" ht="15" customHeight="1" x14ac:dyDescent="0.3">
      <c r="C32" s="246"/>
      <c r="D32" s="9" t="s">
        <v>133</v>
      </c>
      <c r="E32" s="9"/>
      <c r="F32" s="9"/>
      <c r="G32" s="9"/>
      <c r="H32" s="9"/>
      <c r="I32" s="69"/>
    </row>
    <row r="33" spans="3:18" ht="15" customHeight="1" x14ac:dyDescent="0.3">
      <c r="C33" s="246"/>
      <c r="D33" s="9" t="s">
        <v>134</v>
      </c>
      <c r="E33" s="9"/>
      <c r="F33" s="9"/>
      <c r="G33" s="9"/>
      <c r="H33" s="9"/>
      <c r="I33" s="69"/>
    </row>
    <row r="34" spans="3:18" x14ac:dyDescent="0.3">
      <c r="C34" s="247"/>
      <c r="D34" s="9" t="s">
        <v>135</v>
      </c>
      <c r="E34" s="9"/>
      <c r="F34" s="9"/>
      <c r="G34" s="9"/>
      <c r="H34" s="9"/>
      <c r="I34" s="69"/>
    </row>
    <row r="35" spans="3:18" x14ac:dyDescent="0.3">
      <c r="C35" s="133"/>
      <c r="D35" s="136"/>
      <c r="E35" s="9" t="s">
        <v>136</v>
      </c>
      <c r="F35" s="9" t="s">
        <v>137</v>
      </c>
      <c r="G35" s="9" t="s">
        <v>138</v>
      </c>
      <c r="H35" s="9" t="s">
        <v>139</v>
      </c>
      <c r="I35" s="69" t="s">
        <v>140</v>
      </c>
    </row>
    <row r="36" spans="3:18" ht="16.2" thickBot="1" x14ac:dyDescent="0.35">
      <c r="C36" s="134"/>
      <c r="D36" s="135"/>
      <c r="E36" s="248" t="s">
        <v>141</v>
      </c>
      <c r="F36" s="249"/>
      <c r="G36" s="249"/>
      <c r="H36" s="249"/>
      <c r="I36" s="250"/>
      <c r="N36" s="87"/>
      <c r="O36" s="87"/>
      <c r="P36" s="87"/>
      <c r="Q36" s="87"/>
      <c r="R36" s="87"/>
    </row>
    <row r="37" spans="3:18" x14ac:dyDescent="0.3">
      <c r="D37" s="34"/>
      <c r="E37" s="34"/>
      <c r="F37" s="34"/>
      <c r="G37" s="34"/>
    </row>
    <row r="38" spans="3:18" ht="16.2" thickBot="1" x14ac:dyDescent="0.35">
      <c r="D38" s="34"/>
      <c r="E38" s="34"/>
      <c r="F38" s="34"/>
      <c r="G38" s="34"/>
    </row>
    <row r="39" spans="3:18" ht="16.2" thickBot="1" x14ac:dyDescent="0.35">
      <c r="C39" s="137" t="s">
        <v>143</v>
      </c>
      <c r="D39" s="125" t="str">
        <f>E8</f>
        <v>Cholera</v>
      </c>
    </row>
    <row r="40" spans="3:18" x14ac:dyDescent="0.3">
      <c r="C40" s="246" t="s">
        <v>130</v>
      </c>
      <c r="D40" s="124" t="s">
        <v>131</v>
      </c>
      <c r="E40" s="61"/>
      <c r="F40" s="61"/>
      <c r="G40" s="61"/>
      <c r="H40" s="61"/>
      <c r="I40" s="62"/>
    </row>
    <row r="41" spans="3:18" x14ac:dyDescent="0.3">
      <c r="C41" s="246"/>
      <c r="D41" s="9" t="s">
        <v>132</v>
      </c>
      <c r="E41" s="9"/>
      <c r="F41" s="9"/>
      <c r="G41" s="9"/>
      <c r="H41" s="9"/>
      <c r="I41" s="69"/>
    </row>
    <row r="42" spans="3:18" x14ac:dyDescent="0.3">
      <c r="C42" s="246"/>
      <c r="D42" s="9" t="s">
        <v>133</v>
      </c>
      <c r="E42" s="9"/>
      <c r="F42" s="9"/>
      <c r="G42" s="9"/>
      <c r="H42" s="9"/>
      <c r="I42" s="69"/>
    </row>
    <row r="43" spans="3:18" x14ac:dyDescent="0.3">
      <c r="C43" s="246"/>
      <c r="D43" s="9" t="s">
        <v>134</v>
      </c>
      <c r="E43" s="9"/>
      <c r="F43" s="9"/>
      <c r="G43" s="9"/>
      <c r="H43" s="9"/>
      <c r="I43" s="69"/>
    </row>
    <row r="44" spans="3:18" x14ac:dyDescent="0.3">
      <c r="C44" s="247"/>
      <c r="D44" s="9" t="s">
        <v>135</v>
      </c>
      <c r="E44" s="9"/>
      <c r="F44" s="9"/>
      <c r="G44" s="9"/>
      <c r="H44" s="9"/>
      <c r="I44" s="69"/>
    </row>
    <row r="45" spans="3:18" x14ac:dyDescent="0.3">
      <c r="C45" s="133"/>
      <c r="D45" s="136"/>
      <c r="E45" s="9" t="s">
        <v>136</v>
      </c>
      <c r="F45" s="9" t="s">
        <v>137</v>
      </c>
      <c r="G45" s="9" t="s">
        <v>138</v>
      </c>
      <c r="H45" s="9" t="s">
        <v>139</v>
      </c>
      <c r="I45" s="69" t="s">
        <v>140</v>
      </c>
    </row>
    <row r="46" spans="3:18" ht="16.2" thickBot="1" x14ac:dyDescent="0.35">
      <c r="C46" s="134"/>
      <c r="D46" s="135"/>
      <c r="E46" s="248" t="s">
        <v>141</v>
      </c>
      <c r="F46" s="249"/>
      <c r="G46" s="249"/>
      <c r="H46" s="249"/>
      <c r="I46" s="250"/>
    </row>
    <row r="48" spans="3:18" ht="16.2" thickBot="1" x14ac:dyDescent="0.35"/>
    <row r="49" spans="3:9" ht="16.2" thickBot="1" x14ac:dyDescent="0.35">
      <c r="C49" s="137" t="s">
        <v>144</v>
      </c>
      <c r="D49" s="125" t="str">
        <f>F8</f>
        <v>Malaria</v>
      </c>
    </row>
    <row r="50" spans="3:9" x14ac:dyDescent="0.3">
      <c r="C50" s="246" t="s">
        <v>130</v>
      </c>
      <c r="D50" s="124" t="s">
        <v>131</v>
      </c>
      <c r="E50" s="61"/>
      <c r="F50" s="61"/>
      <c r="G50" s="61"/>
      <c r="H50" s="61"/>
      <c r="I50" s="62"/>
    </row>
    <row r="51" spans="3:9" x14ac:dyDescent="0.3">
      <c r="C51" s="246"/>
      <c r="D51" s="9" t="s">
        <v>132</v>
      </c>
      <c r="E51" s="9"/>
      <c r="F51" s="9"/>
      <c r="G51" s="9"/>
      <c r="H51" s="9"/>
      <c r="I51" s="69"/>
    </row>
    <row r="52" spans="3:9" x14ac:dyDescent="0.3">
      <c r="C52" s="246"/>
      <c r="D52" s="9" t="s">
        <v>133</v>
      </c>
      <c r="E52" s="9"/>
      <c r="F52" s="9"/>
      <c r="G52" s="9"/>
      <c r="H52" s="9"/>
      <c r="I52" s="69"/>
    </row>
    <row r="53" spans="3:9" x14ac:dyDescent="0.3">
      <c r="C53" s="246"/>
      <c r="D53" s="9" t="s">
        <v>134</v>
      </c>
      <c r="E53" s="9"/>
      <c r="F53" s="9"/>
      <c r="G53" s="9"/>
      <c r="H53" s="9"/>
      <c r="I53" s="69"/>
    </row>
    <row r="54" spans="3:9" x14ac:dyDescent="0.3">
      <c r="C54" s="247"/>
      <c r="D54" s="9" t="s">
        <v>135</v>
      </c>
      <c r="E54" s="9"/>
      <c r="F54" s="9"/>
      <c r="G54" s="9"/>
      <c r="H54" s="9"/>
      <c r="I54" s="69"/>
    </row>
    <row r="55" spans="3:9" x14ac:dyDescent="0.3">
      <c r="C55" s="133"/>
      <c r="D55" s="136"/>
      <c r="E55" s="9" t="s">
        <v>136</v>
      </c>
      <c r="F55" s="9" t="s">
        <v>137</v>
      </c>
      <c r="G55" s="9" t="s">
        <v>138</v>
      </c>
      <c r="H55" s="9" t="s">
        <v>139</v>
      </c>
      <c r="I55" s="69" t="s">
        <v>140</v>
      </c>
    </row>
    <row r="56" spans="3:9" ht="16.2" thickBot="1" x14ac:dyDescent="0.35">
      <c r="C56" s="134"/>
      <c r="D56" s="135"/>
      <c r="E56" s="248" t="s">
        <v>141</v>
      </c>
      <c r="F56" s="249"/>
      <c r="G56" s="249"/>
      <c r="H56" s="249"/>
      <c r="I56" s="250"/>
    </row>
    <row r="58" spans="3:9" ht="16.2" thickBot="1" x14ac:dyDescent="0.35"/>
    <row r="59" spans="3:9" ht="16.2" thickBot="1" x14ac:dyDescent="0.35">
      <c r="C59" s="137" t="s">
        <v>145</v>
      </c>
      <c r="D59" s="125" t="str">
        <f>G8</f>
        <v>VHF</v>
      </c>
    </row>
    <row r="60" spans="3:9" x14ac:dyDescent="0.3">
      <c r="C60" s="246" t="s">
        <v>130</v>
      </c>
      <c r="D60" s="124" t="s">
        <v>131</v>
      </c>
      <c r="E60" s="61"/>
      <c r="F60" s="61"/>
      <c r="G60" s="61"/>
      <c r="H60" s="61"/>
      <c r="I60" s="62"/>
    </row>
    <row r="61" spans="3:9" x14ac:dyDescent="0.3">
      <c r="C61" s="246"/>
      <c r="D61" s="9" t="s">
        <v>132</v>
      </c>
      <c r="E61" s="9"/>
      <c r="F61" s="9"/>
      <c r="G61" s="9"/>
      <c r="H61" s="9"/>
      <c r="I61" s="69"/>
    </row>
    <row r="62" spans="3:9" x14ac:dyDescent="0.3">
      <c r="C62" s="246"/>
      <c r="D62" s="9" t="s">
        <v>133</v>
      </c>
      <c r="E62" s="9"/>
      <c r="F62" s="9"/>
      <c r="G62" s="9"/>
      <c r="H62" s="9"/>
      <c r="I62" s="69"/>
    </row>
    <row r="63" spans="3:9" x14ac:dyDescent="0.3">
      <c r="C63" s="246"/>
      <c r="D63" s="9" t="s">
        <v>134</v>
      </c>
      <c r="E63" s="9"/>
      <c r="F63" s="9"/>
      <c r="G63" s="9"/>
      <c r="H63" s="9"/>
      <c r="I63" s="69"/>
    </row>
    <row r="64" spans="3:9" x14ac:dyDescent="0.3">
      <c r="C64" s="247"/>
      <c r="D64" s="9" t="s">
        <v>135</v>
      </c>
      <c r="E64" s="9"/>
      <c r="F64" s="9"/>
      <c r="G64" s="9"/>
      <c r="H64" s="9"/>
      <c r="I64" s="69"/>
    </row>
    <row r="65" spans="3:9" x14ac:dyDescent="0.3">
      <c r="C65" s="133"/>
      <c r="D65" s="136"/>
      <c r="E65" s="9" t="s">
        <v>136</v>
      </c>
      <c r="F65" s="9" t="s">
        <v>137</v>
      </c>
      <c r="G65" s="9" t="s">
        <v>138</v>
      </c>
      <c r="H65" s="9" t="s">
        <v>139</v>
      </c>
      <c r="I65" s="69" t="s">
        <v>140</v>
      </c>
    </row>
    <row r="66" spans="3:9" ht="16.2" thickBot="1" x14ac:dyDescent="0.35">
      <c r="C66" s="134"/>
      <c r="D66" s="135"/>
      <c r="E66" s="248" t="s">
        <v>141</v>
      </c>
      <c r="F66" s="249"/>
      <c r="G66" s="249"/>
      <c r="H66" s="249"/>
      <c r="I66" s="250"/>
    </row>
    <row r="68" spans="3:9" ht="16.2" thickBot="1" x14ac:dyDescent="0.35"/>
    <row r="69" spans="3:9" ht="16.2" thickBot="1" x14ac:dyDescent="0.35">
      <c r="C69" s="137" t="s">
        <v>146</v>
      </c>
      <c r="D69" s="125" t="str">
        <f>H8</f>
        <v>Covid-19</v>
      </c>
    </row>
    <row r="70" spans="3:9" x14ac:dyDescent="0.3">
      <c r="C70" s="246" t="s">
        <v>130</v>
      </c>
      <c r="D70" s="124" t="s">
        <v>131</v>
      </c>
      <c r="E70" s="61"/>
      <c r="F70" s="61"/>
      <c r="G70" s="61"/>
      <c r="H70" s="61"/>
      <c r="I70" s="62"/>
    </row>
    <row r="71" spans="3:9" x14ac:dyDescent="0.3">
      <c r="C71" s="246"/>
      <c r="D71" s="9" t="s">
        <v>132</v>
      </c>
      <c r="E71" s="9"/>
      <c r="F71" s="9"/>
      <c r="G71" s="9"/>
      <c r="H71" s="9"/>
      <c r="I71" s="69"/>
    </row>
    <row r="72" spans="3:9" x14ac:dyDescent="0.3">
      <c r="C72" s="246"/>
      <c r="D72" s="9" t="s">
        <v>133</v>
      </c>
      <c r="E72" s="9"/>
      <c r="F72" s="9"/>
      <c r="G72" s="9"/>
      <c r="H72" s="9"/>
      <c r="I72" s="69"/>
    </row>
    <row r="73" spans="3:9" x14ac:dyDescent="0.3">
      <c r="C73" s="246"/>
      <c r="D73" s="9" t="s">
        <v>134</v>
      </c>
      <c r="E73" s="9"/>
      <c r="F73" s="9"/>
      <c r="G73" s="9"/>
      <c r="H73" s="9"/>
      <c r="I73" s="69"/>
    </row>
    <row r="74" spans="3:9" x14ac:dyDescent="0.3">
      <c r="C74" s="247"/>
      <c r="D74" s="9" t="s">
        <v>135</v>
      </c>
      <c r="E74" s="9"/>
      <c r="F74" s="9"/>
      <c r="G74" s="9"/>
      <c r="H74" s="9"/>
      <c r="I74" s="69"/>
    </row>
    <row r="75" spans="3:9" x14ac:dyDescent="0.3">
      <c r="C75" s="133"/>
      <c r="D75" s="136"/>
      <c r="E75" s="9" t="s">
        <v>136</v>
      </c>
      <c r="F75" s="9" t="s">
        <v>137</v>
      </c>
      <c r="G75" s="9" t="s">
        <v>138</v>
      </c>
      <c r="H75" s="9" t="s">
        <v>139</v>
      </c>
      <c r="I75" s="69" t="s">
        <v>140</v>
      </c>
    </row>
    <row r="76" spans="3:9" ht="16.2" thickBot="1" x14ac:dyDescent="0.35">
      <c r="C76" s="134"/>
      <c r="D76" s="135"/>
      <c r="E76" s="248" t="s">
        <v>141</v>
      </c>
      <c r="F76" s="249"/>
      <c r="G76" s="249"/>
      <c r="H76" s="249"/>
      <c r="I76" s="250"/>
    </row>
    <row r="78" spans="3:9" ht="16.2" thickBot="1" x14ac:dyDescent="0.35"/>
    <row r="79" spans="3:9" ht="16.2" thickBot="1" x14ac:dyDescent="0.35">
      <c r="C79" s="137" t="s">
        <v>147</v>
      </c>
      <c r="D79" s="125" t="str">
        <f>I8</f>
        <v>Influenza</v>
      </c>
    </row>
    <row r="80" spans="3:9" x14ac:dyDescent="0.3">
      <c r="C80" s="246" t="s">
        <v>130</v>
      </c>
      <c r="D80" s="124" t="s">
        <v>131</v>
      </c>
      <c r="E80" s="61"/>
      <c r="F80" s="61"/>
      <c r="G80" s="61"/>
      <c r="H80" s="61"/>
      <c r="I80" s="62" t="s">
        <v>181</v>
      </c>
    </row>
    <row r="81" spans="3:9" x14ac:dyDescent="0.3">
      <c r="C81" s="246"/>
      <c r="D81" s="9" t="s">
        <v>132</v>
      </c>
      <c r="E81" s="9"/>
      <c r="F81" s="9"/>
      <c r="G81" s="9"/>
      <c r="H81" s="9"/>
      <c r="I81" s="69"/>
    </row>
    <row r="82" spans="3:9" x14ac:dyDescent="0.3">
      <c r="C82" s="246"/>
      <c r="D82" s="9" t="s">
        <v>133</v>
      </c>
      <c r="E82" s="9"/>
      <c r="F82" s="9"/>
      <c r="G82" s="9"/>
      <c r="H82" s="9"/>
      <c r="I82" s="69"/>
    </row>
    <row r="83" spans="3:9" x14ac:dyDescent="0.3">
      <c r="C83" s="246"/>
      <c r="D83" s="9" t="s">
        <v>134</v>
      </c>
      <c r="E83" s="9"/>
      <c r="F83" s="9"/>
      <c r="G83" s="9"/>
      <c r="H83" s="9"/>
      <c r="I83" s="69"/>
    </row>
    <row r="84" spans="3:9" x14ac:dyDescent="0.3">
      <c r="C84" s="247"/>
      <c r="D84" s="9" t="s">
        <v>135</v>
      </c>
      <c r="E84" s="9"/>
      <c r="F84" s="9"/>
      <c r="G84" s="9"/>
      <c r="H84" s="9"/>
      <c r="I84" s="69"/>
    </row>
    <row r="85" spans="3:9" x14ac:dyDescent="0.3">
      <c r="C85" s="133"/>
      <c r="D85" s="136"/>
      <c r="E85" s="9" t="s">
        <v>136</v>
      </c>
      <c r="F85" s="9" t="s">
        <v>137</v>
      </c>
      <c r="G85" s="9" t="s">
        <v>138</v>
      </c>
      <c r="H85" s="9" t="s">
        <v>139</v>
      </c>
      <c r="I85" s="69" t="s">
        <v>140</v>
      </c>
    </row>
    <row r="86" spans="3:9" ht="16.2" thickBot="1" x14ac:dyDescent="0.35">
      <c r="C86" s="134"/>
      <c r="D86" s="135"/>
      <c r="E86" s="248" t="s">
        <v>141</v>
      </c>
      <c r="F86" s="249"/>
      <c r="G86" s="249"/>
      <c r="H86" s="249"/>
      <c r="I86" s="250"/>
    </row>
    <row r="88" spans="3:9" ht="16.2" thickBot="1" x14ac:dyDescent="0.35"/>
    <row r="89" spans="3:9" ht="16.2" thickBot="1" x14ac:dyDescent="0.35">
      <c r="C89" s="137" t="s">
        <v>148</v>
      </c>
      <c r="D89" s="125" t="str">
        <f>J8</f>
        <v>Mass Casualities</v>
      </c>
    </row>
    <row r="90" spans="3:9" x14ac:dyDescent="0.3">
      <c r="C90" s="246" t="s">
        <v>130</v>
      </c>
      <c r="D90" s="124" t="s">
        <v>131</v>
      </c>
      <c r="E90" s="61"/>
      <c r="F90" s="61"/>
      <c r="G90" s="61"/>
      <c r="H90" s="61"/>
      <c r="I90" s="62"/>
    </row>
    <row r="91" spans="3:9" x14ac:dyDescent="0.3">
      <c r="C91" s="246"/>
      <c r="D91" s="9" t="s">
        <v>132</v>
      </c>
      <c r="E91" s="9"/>
      <c r="F91" s="9"/>
      <c r="G91" s="9"/>
      <c r="H91" s="9"/>
      <c r="I91" s="69"/>
    </row>
    <row r="92" spans="3:9" x14ac:dyDescent="0.3">
      <c r="C92" s="246"/>
      <c r="D92" s="9" t="s">
        <v>133</v>
      </c>
      <c r="E92" s="9"/>
      <c r="F92" s="9"/>
      <c r="G92" s="9"/>
      <c r="H92" s="9"/>
      <c r="I92" s="69"/>
    </row>
    <row r="93" spans="3:9" x14ac:dyDescent="0.3">
      <c r="C93" s="246"/>
      <c r="D93" s="9" t="s">
        <v>134</v>
      </c>
      <c r="E93" s="9"/>
      <c r="F93" s="9"/>
      <c r="G93" s="9"/>
      <c r="H93" s="9"/>
      <c r="I93" s="69"/>
    </row>
    <row r="94" spans="3:9" x14ac:dyDescent="0.3">
      <c r="C94" s="247"/>
      <c r="D94" s="9" t="s">
        <v>135</v>
      </c>
      <c r="E94" s="9"/>
      <c r="F94" s="9"/>
      <c r="G94" s="9"/>
      <c r="H94" s="9"/>
      <c r="I94" s="69"/>
    </row>
    <row r="95" spans="3:9" x14ac:dyDescent="0.3">
      <c r="C95" s="133"/>
      <c r="D95" s="136"/>
      <c r="E95" s="9" t="s">
        <v>136</v>
      </c>
      <c r="F95" s="9" t="s">
        <v>137</v>
      </c>
      <c r="G95" s="9" t="s">
        <v>138</v>
      </c>
      <c r="H95" s="9" t="s">
        <v>139</v>
      </c>
      <c r="I95" s="69" t="s">
        <v>140</v>
      </c>
    </row>
    <row r="96" spans="3:9" ht="16.2" thickBot="1" x14ac:dyDescent="0.35">
      <c r="C96" s="134"/>
      <c r="D96" s="135"/>
      <c r="E96" s="248" t="s">
        <v>141</v>
      </c>
      <c r="F96" s="249"/>
      <c r="G96" s="249"/>
      <c r="H96" s="249"/>
      <c r="I96" s="250"/>
    </row>
    <row r="98" spans="3:9" ht="16.2" thickBot="1" x14ac:dyDescent="0.35"/>
    <row r="99" spans="3:9" ht="16.2" thickBot="1" x14ac:dyDescent="0.35">
      <c r="C99" s="137" t="s">
        <v>149</v>
      </c>
      <c r="D99" s="125" t="str">
        <f>K8</f>
        <v>Chemical</v>
      </c>
    </row>
    <row r="100" spans="3:9" x14ac:dyDescent="0.3">
      <c r="C100" s="246" t="s">
        <v>130</v>
      </c>
      <c r="D100" s="124" t="s">
        <v>131</v>
      </c>
      <c r="E100" s="61"/>
      <c r="F100" s="61"/>
      <c r="G100" s="61"/>
      <c r="H100" s="61"/>
      <c r="I100" s="62"/>
    </row>
    <row r="101" spans="3:9" x14ac:dyDescent="0.3">
      <c r="C101" s="246"/>
      <c r="D101" s="9" t="s">
        <v>132</v>
      </c>
      <c r="E101" s="9"/>
      <c r="F101" s="9"/>
      <c r="G101" s="9"/>
      <c r="H101" s="9"/>
      <c r="I101" s="69"/>
    </row>
    <row r="102" spans="3:9" x14ac:dyDescent="0.3">
      <c r="C102" s="246"/>
      <c r="D102" s="9" t="s">
        <v>133</v>
      </c>
      <c r="E102" s="9"/>
      <c r="F102" s="9"/>
      <c r="G102" s="9"/>
      <c r="H102" s="9"/>
      <c r="I102" s="69"/>
    </row>
    <row r="103" spans="3:9" x14ac:dyDescent="0.3">
      <c r="C103" s="246"/>
      <c r="D103" s="9" t="s">
        <v>134</v>
      </c>
      <c r="E103" s="9"/>
      <c r="F103" s="9"/>
      <c r="G103" s="9"/>
      <c r="H103" s="9"/>
      <c r="I103" s="69"/>
    </row>
    <row r="104" spans="3:9" x14ac:dyDescent="0.3">
      <c r="C104" s="247"/>
      <c r="D104" s="9" t="s">
        <v>135</v>
      </c>
      <c r="E104" s="9"/>
      <c r="F104" s="9"/>
      <c r="G104" s="9"/>
      <c r="H104" s="9"/>
      <c r="I104" s="69"/>
    </row>
    <row r="105" spans="3:9" x14ac:dyDescent="0.3">
      <c r="C105" s="133"/>
      <c r="D105" s="136"/>
      <c r="E105" s="9" t="s">
        <v>136</v>
      </c>
      <c r="F105" s="9" t="s">
        <v>137</v>
      </c>
      <c r="G105" s="9" t="s">
        <v>138</v>
      </c>
      <c r="H105" s="9" t="s">
        <v>139</v>
      </c>
      <c r="I105" s="69" t="s">
        <v>140</v>
      </c>
    </row>
    <row r="106" spans="3:9" ht="16.2" thickBot="1" x14ac:dyDescent="0.35">
      <c r="C106" s="134"/>
      <c r="D106" s="135"/>
      <c r="E106" s="248" t="s">
        <v>141</v>
      </c>
      <c r="F106" s="249"/>
      <c r="G106" s="249"/>
      <c r="H106" s="249"/>
      <c r="I106" s="250"/>
    </row>
    <row r="108" spans="3:9" ht="16.2" thickBot="1" x14ac:dyDescent="0.35"/>
    <row r="109" spans="3:9" ht="16.2" thickBot="1" x14ac:dyDescent="0.35">
      <c r="C109" s="137" t="s">
        <v>150</v>
      </c>
      <c r="D109" s="125" t="str">
        <f>L8</f>
        <v>Radiological</v>
      </c>
    </row>
    <row r="110" spans="3:9" x14ac:dyDescent="0.3">
      <c r="C110" s="246" t="s">
        <v>130</v>
      </c>
      <c r="D110" s="124" t="s">
        <v>131</v>
      </c>
      <c r="E110" s="61"/>
      <c r="F110" s="61"/>
      <c r="G110" s="61"/>
      <c r="H110" s="61"/>
      <c r="I110" s="62"/>
    </row>
    <row r="111" spans="3:9" x14ac:dyDescent="0.3">
      <c r="C111" s="246"/>
      <c r="D111" s="9" t="s">
        <v>132</v>
      </c>
      <c r="E111" s="9"/>
      <c r="F111" s="9"/>
      <c r="G111" s="9"/>
      <c r="H111" s="9"/>
      <c r="I111" s="69"/>
    </row>
    <row r="112" spans="3:9" x14ac:dyDescent="0.3">
      <c r="C112" s="246"/>
      <c r="D112" s="9" t="s">
        <v>133</v>
      </c>
      <c r="E112" s="9"/>
      <c r="F112" s="9"/>
      <c r="G112" s="9"/>
      <c r="H112" s="9"/>
      <c r="I112" s="69"/>
    </row>
    <row r="113" spans="3:9" x14ac:dyDescent="0.3">
      <c r="C113" s="246"/>
      <c r="D113" s="9" t="s">
        <v>134</v>
      </c>
      <c r="E113" s="9"/>
      <c r="F113" s="9"/>
      <c r="G113" s="9"/>
      <c r="H113" s="9"/>
      <c r="I113" s="69"/>
    </row>
    <row r="114" spans="3:9" x14ac:dyDescent="0.3">
      <c r="C114" s="247"/>
      <c r="D114" s="9" t="s">
        <v>135</v>
      </c>
      <c r="E114" s="9"/>
      <c r="F114" s="9"/>
      <c r="G114" s="9"/>
      <c r="H114" s="9"/>
      <c r="I114" s="69"/>
    </row>
    <row r="115" spans="3:9" x14ac:dyDescent="0.3">
      <c r="C115" s="133"/>
      <c r="D115" s="136"/>
      <c r="E115" s="9" t="s">
        <v>136</v>
      </c>
      <c r="F115" s="9" t="s">
        <v>137</v>
      </c>
      <c r="G115" s="9" t="s">
        <v>138</v>
      </c>
      <c r="H115" s="9" t="s">
        <v>139</v>
      </c>
      <c r="I115" s="69" t="s">
        <v>140</v>
      </c>
    </row>
    <row r="116" spans="3:9" ht="16.2" thickBot="1" x14ac:dyDescent="0.35">
      <c r="C116" s="134"/>
      <c r="D116" s="135"/>
      <c r="E116" s="248" t="s">
        <v>141</v>
      </c>
      <c r="F116" s="249"/>
      <c r="G116" s="249"/>
      <c r="H116" s="249"/>
      <c r="I116" s="250"/>
    </row>
    <row r="118" spans="3:9" ht="16.2" thickBot="1" x14ac:dyDescent="0.35"/>
    <row r="119" spans="3:9" ht="16.2" thickBot="1" x14ac:dyDescent="0.35">
      <c r="C119" s="137" t="s">
        <v>151</v>
      </c>
      <c r="D119" s="125" t="str">
        <f>M8</f>
        <v>Physical</v>
      </c>
    </row>
    <row r="120" spans="3:9" x14ac:dyDescent="0.3">
      <c r="C120" s="246" t="s">
        <v>130</v>
      </c>
      <c r="D120" s="124" t="s">
        <v>131</v>
      </c>
      <c r="E120" s="61"/>
      <c r="F120" s="61"/>
      <c r="G120" s="61"/>
      <c r="H120" s="61"/>
      <c r="I120" s="62"/>
    </row>
    <row r="121" spans="3:9" x14ac:dyDescent="0.3">
      <c r="C121" s="246"/>
      <c r="D121" s="9" t="s">
        <v>132</v>
      </c>
      <c r="E121" s="9"/>
      <c r="F121" s="9"/>
      <c r="G121" s="9"/>
      <c r="H121" s="9"/>
      <c r="I121" s="69"/>
    </row>
    <row r="122" spans="3:9" x14ac:dyDescent="0.3">
      <c r="C122" s="246"/>
      <c r="D122" s="9" t="s">
        <v>133</v>
      </c>
      <c r="E122" s="9"/>
      <c r="F122" s="9"/>
      <c r="G122" s="9"/>
      <c r="H122" s="9"/>
      <c r="I122" s="69"/>
    </row>
    <row r="123" spans="3:9" x14ac:dyDescent="0.3">
      <c r="C123" s="246"/>
      <c r="D123" s="9" t="s">
        <v>134</v>
      </c>
      <c r="E123" s="9"/>
      <c r="F123" s="9"/>
      <c r="G123" s="9"/>
      <c r="H123" s="9"/>
      <c r="I123" s="69"/>
    </row>
    <row r="124" spans="3:9" x14ac:dyDescent="0.3">
      <c r="C124" s="247"/>
      <c r="D124" s="9" t="s">
        <v>135</v>
      </c>
      <c r="E124" s="9"/>
      <c r="F124" s="9"/>
      <c r="G124" s="9"/>
      <c r="H124" s="9"/>
      <c r="I124" s="69"/>
    </row>
    <row r="125" spans="3:9" x14ac:dyDescent="0.3">
      <c r="C125" s="133"/>
      <c r="D125" s="136"/>
      <c r="E125" s="9" t="s">
        <v>136</v>
      </c>
      <c r="F125" s="9" t="s">
        <v>137</v>
      </c>
      <c r="G125" s="9" t="s">
        <v>138</v>
      </c>
      <c r="H125" s="9" t="s">
        <v>139</v>
      </c>
      <c r="I125" s="69" t="s">
        <v>140</v>
      </c>
    </row>
    <row r="126" spans="3:9" ht="16.2" thickBot="1" x14ac:dyDescent="0.35">
      <c r="C126" s="134"/>
      <c r="D126" s="135"/>
      <c r="E126" s="248" t="s">
        <v>141</v>
      </c>
      <c r="F126" s="249"/>
      <c r="G126" s="249"/>
      <c r="H126" s="249"/>
      <c r="I126" s="250"/>
    </row>
  </sheetData>
  <mergeCells count="21">
    <mergeCell ref="C2:M4"/>
    <mergeCell ref="E86:I86"/>
    <mergeCell ref="C30:C34"/>
    <mergeCell ref="E36:I36"/>
    <mergeCell ref="C40:C44"/>
    <mergeCell ref="E46:I46"/>
    <mergeCell ref="C50:C54"/>
    <mergeCell ref="E56:I56"/>
    <mergeCell ref="C60:C64"/>
    <mergeCell ref="E66:I66"/>
    <mergeCell ref="C70:C74"/>
    <mergeCell ref="E76:I76"/>
    <mergeCell ref="C80:C84"/>
    <mergeCell ref="C120:C124"/>
    <mergeCell ref="E126:I126"/>
    <mergeCell ref="C90:C94"/>
    <mergeCell ref="E96:I96"/>
    <mergeCell ref="C100:C104"/>
    <mergeCell ref="E106:I106"/>
    <mergeCell ref="C110:C114"/>
    <mergeCell ref="E116:I116"/>
  </mergeCells>
  <phoneticPr fontId="9" type="noConversion"/>
  <conditionalFormatting sqref="E30">
    <cfRule type="expression" dxfId="299" priority="329">
      <formula>AND($D$14="Very low",$D$18="Almost certain")</formula>
    </cfRule>
  </conditionalFormatting>
  <conditionalFormatting sqref="E31">
    <cfRule type="expression" dxfId="298" priority="268">
      <formula>AND($D$14="Very low", $D$18="Very likely")</formula>
    </cfRule>
    <cfRule type="expression" dxfId="297" priority="328">
      <formula>AND($D$14="Very low",$D$18="Highly likely")</formula>
    </cfRule>
  </conditionalFormatting>
  <conditionalFormatting sqref="E32">
    <cfRule type="expression" dxfId="296" priority="327">
      <formula>AND($D$14="Very low",$D$18="Likely")</formula>
    </cfRule>
  </conditionalFormatting>
  <conditionalFormatting sqref="E33">
    <cfRule type="expression" dxfId="295" priority="326">
      <formula>AND($D$14="Very low",$D$18="Unlikely")</formula>
    </cfRule>
  </conditionalFormatting>
  <conditionalFormatting sqref="E34">
    <cfRule type="expression" dxfId="294" priority="325">
      <formula>AND($D$14="Very low",$D$18="Very unlikely")</formula>
    </cfRule>
  </conditionalFormatting>
  <conditionalFormatting sqref="E40">
    <cfRule type="expression" dxfId="293" priority="301">
      <formula>AND($E$14="Very low", $E$18="Almost certain")</formula>
    </cfRule>
  </conditionalFormatting>
  <conditionalFormatting sqref="E41">
    <cfRule type="expression" dxfId="292" priority="273">
      <formula>AND($E$14="Very low", $E$18="Very likely")</formula>
    </cfRule>
    <cfRule type="expression" dxfId="291" priority="300">
      <formula>AND($E$14="Very low", $E$18="Highly likely")</formula>
    </cfRule>
  </conditionalFormatting>
  <conditionalFormatting sqref="E42">
    <cfRule type="expression" dxfId="290" priority="299">
      <formula>AND($E$14="Very low", $E$18="Likely")</formula>
    </cfRule>
  </conditionalFormatting>
  <conditionalFormatting sqref="E43">
    <cfRule type="expression" dxfId="289" priority="297">
      <formula>AND($E$14="Very low", $E$18="Unlikely")</formula>
    </cfRule>
  </conditionalFormatting>
  <conditionalFormatting sqref="E44">
    <cfRule type="expression" dxfId="288" priority="296">
      <formula>AND($E$14="Very low", $E$18="Very unlikely")</formula>
    </cfRule>
  </conditionalFormatting>
  <conditionalFormatting sqref="E50">
    <cfRule type="expression" dxfId="287" priority="262">
      <formula>AND($F$14="Very low", $F$18="Almost certain")</formula>
    </cfRule>
  </conditionalFormatting>
  <conditionalFormatting sqref="E51">
    <cfRule type="expression" dxfId="286" priority="261">
      <formula>AND($F$14="Very low", $F$18="Very likely")</formula>
    </cfRule>
  </conditionalFormatting>
  <conditionalFormatting sqref="E52">
    <cfRule type="expression" dxfId="285" priority="260">
      <formula>AND($F$14="Very low", $F$18="Likely")</formula>
    </cfRule>
  </conditionalFormatting>
  <conditionalFormatting sqref="E53">
    <cfRule type="expression" dxfId="284" priority="252">
      <formula>AND($F$14="Very low", $F$18="Unlikely")</formula>
    </cfRule>
    <cfRule type="expression" dxfId="283" priority="259">
      <formula>AND($F$14="Very low", $F$18="Unlikely")</formula>
    </cfRule>
  </conditionalFormatting>
  <conditionalFormatting sqref="E54">
    <cfRule type="expression" dxfId="282" priority="251">
      <formula>AND($F$14="Very low", $F$18="Very unlikely")</formula>
    </cfRule>
    <cfRule type="expression" dxfId="281" priority="258">
      <formula>AND($F$14="Very low", $F$18="Very unlikely")</formula>
    </cfRule>
  </conditionalFormatting>
  <conditionalFormatting sqref="E60">
    <cfRule type="expression" dxfId="280" priority="235">
      <formula>AND($G$14="Very low", $G$18="Almost certain")</formula>
    </cfRule>
  </conditionalFormatting>
  <conditionalFormatting sqref="E61">
    <cfRule type="expression" dxfId="279" priority="234">
      <formula>AND($G$14="Very low", $G$18="Very likely")</formula>
    </cfRule>
  </conditionalFormatting>
  <conditionalFormatting sqref="E62">
    <cfRule type="expression" dxfId="278" priority="233">
      <formula>AND($G$14="Very low", $G$18="Likely")</formula>
    </cfRule>
  </conditionalFormatting>
  <conditionalFormatting sqref="E63">
    <cfRule type="expression" dxfId="277" priority="223">
      <formula>AND($G$14="Very low", $G$18="Unlikely")</formula>
    </cfRule>
    <cfRule type="expression" dxfId="276" priority="232">
      <formula>AND($G$14="Very low", $G$18="Unlikely")</formula>
    </cfRule>
  </conditionalFormatting>
  <conditionalFormatting sqref="E64">
    <cfRule type="expression" dxfId="275" priority="224">
      <formula>AND($G$14="Very low", $G$18="Very unlikely")</formula>
    </cfRule>
    <cfRule type="expression" dxfId="274" priority="231">
      <formula>AND($G$14="Very low", $G$18="Very unlikely")</formula>
    </cfRule>
  </conditionalFormatting>
  <conditionalFormatting sqref="E70">
    <cfRule type="expression" dxfId="273" priority="205">
      <formula>AND($H$14="Very low", $H$18="Almost certain")</formula>
    </cfRule>
  </conditionalFormatting>
  <conditionalFormatting sqref="E71">
    <cfRule type="expression" dxfId="272" priority="204">
      <formula>AND($H$14="Very low", $H$18="Very likely")</formula>
    </cfRule>
  </conditionalFormatting>
  <conditionalFormatting sqref="E72">
    <cfRule type="expression" dxfId="271" priority="203">
      <formula>AND($H$14="Very low", $H$18="Likely")</formula>
    </cfRule>
  </conditionalFormatting>
  <conditionalFormatting sqref="E73">
    <cfRule type="expression" dxfId="270" priority="202">
      <formula>AND($H$14="Very low", $H$18="Unlikely")</formula>
    </cfRule>
  </conditionalFormatting>
  <conditionalFormatting sqref="E74">
    <cfRule type="expression" dxfId="269" priority="201">
      <formula>AND($H$14="Very low", $H$18="Very unlikely")</formula>
    </cfRule>
  </conditionalFormatting>
  <conditionalFormatting sqref="E80">
    <cfRule type="expression" dxfId="268" priority="180">
      <formula>AND($I$14="Very low", $I$18="Almost certain")</formula>
    </cfRule>
  </conditionalFormatting>
  <conditionalFormatting sqref="E81">
    <cfRule type="expression" dxfId="267" priority="179">
      <formula>AND($I$14="Very low", $I$18="Very likely")</formula>
    </cfRule>
  </conditionalFormatting>
  <conditionalFormatting sqref="E82">
    <cfRule type="expression" dxfId="266" priority="178">
      <formula>AND($I$14="Very low", $I$18="Likely")</formula>
    </cfRule>
  </conditionalFormatting>
  <conditionalFormatting sqref="E83:E84">
    <cfRule type="expression" dxfId="265" priority="176">
      <formula>AND($I$14="Very low", $I$18="Unlikely")</formula>
    </cfRule>
  </conditionalFormatting>
  <conditionalFormatting sqref="E84">
    <cfRule type="expression" dxfId="264" priority="175">
      <formula>AND($I$14="Very low", $I$18="Very unlikely")</formula>
    </cfRule>
  </conditionalFormatting>
  <conditionalFormatting sqref="E91">
    <cfRule type="expression" dxfId="263" priority="100">
      <formula>AND($J$14="Very low", $J$18="Very likely")</formula>
    </cfRule>
  </conditionalFormatting>
  <conditionalFormatting sqref="E92">
    <cfRule type="expression" dxfId="262" priority="101">
      <formula>AND($J$14="Very low", $J$18="Likely")</formula>
    </cfRule>
  </conditionalFormatting>
  <conditionalFormatting sqref="E93">
    <cfRule type="expression" dxfId="261" priority="102">
      <formula>AND($J$14="Very low", $J$18="Unlikely")</formula>
    </cfRule>
  </conditionalFormatting>
  <conditionalFormatting sqref="E94">
    <cfRule type="expression" dxfId="260" priority="103">
      <formula>AND($J$14="Very low", $J$18="Very unlikely")</formula>
    </cfRule>
  </conditionalFormatting>
  <conditionalFormatting sqref="E100">
    <cfRule type="expression" dxfId="259" priority="99">
      <formula>AND($K$14="Very low", $K$18="Almost certain")</formula>
    </cfRule>
  </conditionalFormatting>
  <conditionalFormatting sqref="E101">
    <cfRule type="expression" dxfId="258" priority="98">
      <formula>AND($K$14="Very low", $K$18="Very likely")</formula>
    </cfRule>
  </conditionalFormatting>
  <conditionalFormatting sqref="E102">
    <cfRule type="expression" dxfId="257" priority="97">
      <formula>AND($K$14="Very low", $K$18="Likely")</formula>
    </cfRule>
  </conditionalFormatting>
  <conditionalFormatting sqref="E103">
    <cfRule type="expression" dxfId="256" priority="96">
      <formula>AND($K$14="Very low", $K$18="Unlikely")</formula>
    </cfRule>
  </conditionalFormatting>
  <conditionalFormatting sqref="E104">
    <cfRule type="expression" dxfId="255" priority="93">
      <formula>AND($K$14="Very low", $K$18="Very unlikely")</formula>
    </cfRule>
    <cfRule type="expression" dxfId="254" priority="95">
      <formula>AND($K$14="Very low", $K$18="Very likely")</formula>
    </cfRule>
  </conditionalFormatting>
  <conditionalFormatting sqref="E110">
    <cfRule type="expression" dxfId="253" priority="49">
      <formula>AND($L$14="Very low", $L$18="Almost certain")</formula>
    </cfRule>
  </conditionalFormatting>
  <conditionalFormatting sqref="E111">
    <cfRule type="expression" dxfId="252" priority="50">
      <formula>AND($L$14="Very low", $L$18="Very likely")</formula>
    </cfRule>
  </conditionalFormatting>
  <conditionalFormatting sqref="E112">
    <cfRule type="expression" dxfId="251" priority="51">
      <formula>AND($L$14="Very low", $L$18="Likely")</formula>
    </cfRule>
  </conditionalFormatting>
  <conditionalFormatting sqref="E113">
    <cfRule type="expression" dxfId="250" priority="52">
      <formula>AND($L$14="Very low", $L$18="Unlikely")</formula>
    </cfRule>
  </conditionalFormatting>
  <conditionalFormatting sqref="E114">
    <cfRule type="expression" dxfId="249" priority="53">
      <formula>AND($L$14="Very low", $L$18="Very unlikely")</formula>
    </cfRule>
  </conditionalFormatting>
  <conditionalFormatting sqref="E120">
    <cfRule type="expression" dxfId="248" priority="28">
      <formula>AND($M$14="Very low", $M$18="Almost certain")</formula>
    </cfRule>
  </conditionalFormatting>
  <conditionalFormatting sqref="E121">
    <cfRule type="expression" dxfId="247" priority="27">
      <formula>AND($M$14="Very low", $M$18="Very likely")</formula>
    </cfRule>
  </conditionalFormatting>
  <conditionalFormatting sqref="E122">
    <cfRule type="expression" dxfId="246" priority="26">
      <formula>AND($M$14="Very low", $M$18="Likely")</formula>
    </cfRule>
  </conditionalFormatting>
  <conditionalFormatting sqref="E123">
    <cfRule type="expression" dxfId="245" priority="25">
      <formula>AND($M$14="Very low", $M$18="Unlikely")</formula>
    </cfRule>
  </conditionalFormatting>
  <conditionalFormatting sqref="E124">
    <cfRule type="expression" dxfId="244" priority="24">
      <formula>AND($M$14="Very low", $M$18="Very unlikely")</formula>
    </cfRule>
  </conditionalFormatting>
  <conditionalFormatting sqref="E40:I44">
    <cfRule type="containsText" dxfId="243" priority="374" operator="containsText" text="RED">
      <formula>NOT(ISERROR(SEARCH("RED",E40)))</formula>
    </cfRule>
    <cfRule type="containsText" dxfId="242" priority="375" operator="containsText" text="YELLOW">
      <formula>NOT(ISERROR(SEARCH("YELLOW",E40)))</formula>
    </cfRule>
    <cfRule type="containsText" dxfId="241" priority="376" operator="containsText" text="GREEN">
      <formula>NOT(ISERROR(SEARCH("GREEN",E40)))</formula>
    </cfRule>
    <cfRule type="colorScale" priority="377">
      <colorScale>
        <cfvo type="min"/>
        <cfvo type="percentile" val="50"/>
        <cfvo type="max"/>
        <color rgb="FFF8696B"/>
        <color rgb="FFFFEB84"/>
        <color rgb="FF63BE7B"/>
      </colorScale>
    </cfRule>
  </conditionalFormatting>
  <conditionalFormatting sqref="E50:I54">
    <cfRule type="containsText" dxfId="240" priority="370" operator="containsText" text="RED">
      <formula>NOT(ISERROR(SEARCH("RED",E50)))</formula>
    </cfRule>
    <cfRule type="containsText" dxfId="239" priority="371" operator="containsText" text="YELLOW">
      <formula>NOT(ISERROR(SEARCH("YELLOW",E50)))</formula>
    </cfRule>
    <cfRule type="containsText" dxfId="238" priority="372" operator="containsText" text="GREEN">
      <formula>NOT(ISERROR(SEARCH("GREEN",E50)))</formula>
    </cfRule>
    <cfRule type="colorScale" priority="373">
      <colorScale>
        <cfvo type="min"/>
        <cfvo type="percentile" val="50"/>
        <cfvo type="max"/>
        <color rgb="FFF8696B"/>
        <color rgb="FFFFEB84"/>
        <color rgb="FF63BE7B"/>
      </colorScale>
    </cfRule>
  </conditionalFormatting>
  <conditionalFormatting sqref="E60:I64">
    <cfRule type="containsText" dxfId="237" priority="366" operator="containsText" text="RED">
      <formula>NOT(ISERROR(SEARCH("RED",E60)))</formula>
    </cfRule>
    <cfRule type="containsText" dxfId="236" priority="367" operator="containsText" text="YELLOW">
      <formula>NOT(ISERROR(SEARCH("YELLOW",E60)))</formula>
    </cfRule>
    <cfRule type="containsText" dxfId="235" priority="368" operator="containsText" text="GREEN">
      <formula>NOT(ISERROR(SEARCH("GREEN",E60)))</formula>
    </cfRule>
    <cfRule type="colorScale" priority="369">
      <colorScale>
        <cfvo type="min"/>
        <cfvo type="percentile" val="50"/>
        <cfvo type="max"/>
        <color rgb="FFF8696B"/>
        <color rgb="FFFFEB84"/>
        <color rgb="FF63BE7B"/>
      </colorScale>
    </cfRule>
  </conditionalFormatting>
  <conditionalFormatting sqref="E70:I74">
    <cfRule type="containsText" dxfId="234" priority="362" operator="containsText" text="RED">
      <formula>NOT(ISERROR(SEARCH("RED",E70)))</formula>
    </cfRule>
    <cfRule type="containsText" dxfId="233" priority="363" operator="containsText" text="YELLOW">
      <formula>NOT(ISERROR(SEARCH("YELLOW",E70)))</formula>
    </cfRule>
    <cfRule type="containsText" dxfId="232" priority="364" operator="containsText" text="GREEN">
      <formula>NOT(ISERROR(SEARCH("GREEN",E70)))</formula>
    </cfRule>
    <cfRule type="colorScale" priority="365">
      <colorScale>
        <cfvo type="min"/>
        <cfvo type="percentile" val="50"/>
        <cfvo type="max"/>
        <color rgb="FFF8696B"/>
        <color rgb="FFFFEB84"/>
        <color rgb="FF63BE7B"/>
      </colorScale>
    </cfRule>
  </conditionalFormatting>
  <conditionalFormatting sqref="E80:I84">
    <cfRule type="containsText" dxfId="231" priority="358" operator="containsText" text="RED">
      <formula>NOT(ISERROR(SEARCH("RED",E80)))</formula>
    </cfRule>
    <cfRule type="containsText" dxfId="230" priority="359" operator="containsText" text="YELLOW">
      <formula>NOT(ISERROR(SEARCH("YELLOW",E80)))</formula>
    </cfRule>
    <cfRule type="containsText" dxfId="229" priority="360" operator="containsText" text="GREEN">
      <formula>NOT(ISERROR(SEARCH("GREEN",E80)))</formula>
    </cfRule>
    <cfRule type="colorScale" priority="361">
      <colorScale>
        <cfvo type="min"/>
        <cfvo type="percentile" val="50"/>
        <cfvo type="max"/>
        <color rgb="FFF8696B"/>
        <color rgb="FFFFEB84"/>
        <color rgb="FF63BE7B"/>
      </colorScale>
    </cfRule>
  </conditionalFormatting>
  <conditionalFormatting sqref="E100:I104">
    <cfRule type="containsText" dxfId="228" priority="350" operator="containsText" text="RED">
      <formula>NOT(ISERROR(SEARCH("RED",E100)))</formula>
    </cfRule>
    <cfRule type="containsText" dxfId="227" priority="351" operator="containsText" text="YELLOW">
      <formula>NOT(ISERROR(SEARCH("YELLOW",E100)))</formula>
    </cfRule>
    <cfRule type="containsText" dxfId="226" priority="352" operator="containsText" text="GREEN">
      <formula>NOT(ISERROR(SEARCH("GREEN",E100)))</formula>
    </cfRule>
    <cfRule type="colorScale" priority="353">
      <colorScale>
        <cfvo type="min"/>
        <cfvo type="percentile" val="50"/>
        <cfvo type="max"/>
        <color rgb="FFF8696B"/>
        <color rgb="FFFFEB84"/>
        <color rgb="FF63BE7B"/>
      </colorScale>
    </cfRule>
  </conditionalFormatting>
  <conditionalFormatting sqref="E121:I124 F120 H120:I120">
    <cfRule type="containsText" dxfId="225" priority="342" operator="containsText" text="RED">
      <formula>NOT(ISERROR(SEARCH("RED",E120)))</formula>
    </cfRule>
    <cfRule type="colorScale" priority="345">
      <colorScale>
        <cfvo type="min"/>
        <cfvo type="percentile" val="50"/>
        <cfvo type="max"/>
        <color rgb="FFF8696B"/>
        <color rgb="FFFFEB84"/>
        <color rgb="FF63BE7B"/>
      </colorScale>
    </cfRule>
  </conditionalFormatting>
  <conditionalFormatting sqref="F30">
    <cfRule type="expression" dxfId="224" priority="324">
      <formula>AND($D$14="Low",$D$18="Almost certain")</formula>
    </cfRule>
  </conditionalFormatting>
  <conditionalFormatting sqref="F31">
    <cfRule type="expression" dxfId="223" priority="267">
      <formula>AND($D$14="Low", $D$18="Very likely")</formula>
    </cfRule>
    <cfRule type="expression" dxfId="222" priority="323">
      <formula>AND($D$14="Low",$D$18="Highly likely")</formula>
    </cfRule>
  </conditionalFormatting>
  <conditionalFormatting sqref="F32">
    <cfRule type="expression" dxfId="221" priority="321">
      <formula>AND($D$14="Low",$D$18="Likely")</formula>
    </cfRule>
  </conditionalFormatting>
  <conditionalFormatting sqref="F33">
    <cfRule type="expression" dxfId="220" priority="320">
      <formula>AND($D$14="Low",$D$18="Unlikely")</formula>
    </cfRule>
  </conditionalFormatting>
  <conditionalFormatting sqref="F34">
    <cfRule type="expression" dxfId="219" priority="319">
      <formula>AND($D$14="Low",$D$18="Very unlikely")</formula>
    </cfRule>
  </conditionalFormatting>
  <conditionalFormatting sqref="F40">
    <cfRule type="expression" dxfId="218" priority="295">
      <formula>AND($E$14="Low", $E$18="Almost certain")</formula>
    </cfRule>
  </conditionalFormatting>
  <conditionalFormatting sqref="F41">
    <cfRule type="expression" dxfId="217" priority="272">
      <formula>AND($E$14="Low", $E$18="Very likely")</formula>
    </cfRule>
    <cfRule type="expression" dxfId="216" priority="294">
      <formula>AND($E$14="Low", $E$18="Highly likely")</formula>
    </cfRule>
  </conditionalFormatting>
  <conditionalFormatting sqref="F42">
    <cfRule type="expression" dxfId="215" priority="293">
      <formula>AND($E$14="Low", $E$18="Likely")</formula>
    </cfRule>
  </conditionalFormatting>
  <conditionalFormatting sqref="F43">
    <cfRule type="expression" dxfId="214" priority="292">
      <formula>AND($E$14="Low", $E$18="Unlikely")</formula>
    </cfRule>
  </conditionalFormatting>
  <conditionalFormatting sqref="F44">
    <cfRule type="expression" dxfId="213" priority="274">
      <formula>AND($E$14="Low", $E$18="Very unlikely")</formula>
    </cfRule>
  </conditionalFormatting>
  <conditionalFormatting sqref="F50">
    <cfRule type="expression" dxfId="212" priority="257">
      <formula>AND($F$14="Low", $F$18="Almost certain")</formula>
    </cfRule>
  </conditionalFormatting>
  <conditionalFormatting sqref="F51">
    <cfRule type="expression" dxfId="211" priority="256">
      <formula>AND($F$14="Low", $F$18="Very likely")</formula>
    </cfRule>
  </conditionalFormatting>
  <conditionalFormatting sqref="F52">
    <cfRule type="expression" dxfId="210" priority="255">
      <formula>AND($F$14="Low", $F$18="Likely")</formula>
    </cfRule>
  </conditionalFormatting>
  <conditionalFormatting sqref="F53">
    <cfRule type="expression" dxfId="209" priority="254">
      <formula>AND($F$14="Low", $F$18="Unlikely")</formula>
    </cfRule>
  </conditionalFormatting>
  <conditionalFormatting sqref="F54">
    <cfRule type="expression" dxfId="208" priority="253">
      <formula>AND($F$14="Low", $F$18="Very unlikely")</formula>
    </cfRule>
  </conditionalFormatting>
  <conditionalFormatting sqref="F60">
    <cfRule type="expression" dxfId="207" priority="230">
      <formula>AND($G$14="Low", $G$18="Almost certain")</formula>
    </cfRule>
  </conditionalFormatting>
  <conditionalFormatting sqref="F61">
    <cfRule type="expression" dxfId="206" priority="229">
      <formula>AND($G$14="Low", $G$18="Very likely")</formula>
    </cfRule>
  </conditionalFormatting>
  <conditionalFormatting sqref="F62">
    <cfRule type="expression" dxfId="205" priority="228">
      <formula>AND($G$14="Low", $G$18="Likely")</formula>
    </cfRule>
  </conditionalFormatting>
  <conditionalFormatting sqref="F63">
    <cfRule type="expression" dxfId="204" priority="227">
      <formula>AND($G$14="Low", $G$18="Unlikely")</formula>
    </cfRule>
  </conditionalFormatting>
  <conditionalFormatting sqref="F64">
    <cfRule type="expression" dxfId="203" priority="226">
      <formula>AND($G$14="Low", $G$18="Very unlikely")</formula>
    </cfRule>
  </conditionalFormatting>
  <conditionalFormatting sqref="F70">
    <cfRule type="expression" dxfId="202" priority="200">
      <formula>AND($H$14="Low", $H$18="Almost certain")</formula>
    </cfRule>
  </conditionalFormatting>
  <conditionalFormatting sqref="F71">
    <cfRule type="expression" dxfId="201" priority="199">
      <formula>AND($H$14="Low", $H$18="Very likely")</formula>
    </cfRule>
  </conditionalFormatting>
  <conditionalFormatting sqref="F72">
    <cfRule type="expression" dxfId="200" priority="198">
      <formula>AND($H$14="Low", $H$18="Likely")</formula>
    </cfRule>
  </conditionalFormatting>
  <conditionalFormatting sqref="F73">
    <cfRule type="expression" dxfId="199" priority="197">
      <formula>AND($H$14="Low", $H$18="Unlikely")</formula>
    </cfRule>
  </conditionalFormatting>
  <conditionalFormatting sqref="F74">
    <cfRule type="expression" dxfId="198" priority="196">
      <formula>AND($H$14="Low", $H$18="Very unlikely")</formula>
    </cfRule>
  </conditionalFormatting>
  <conditionalFormatting sqref="F80">
    <cfRule type="expression" dxfId="197" priority="173">
      <formula>AND($I$14="Low", $I$18="Almost ceratin")</formula>
    </cfRule>
  </conditionalFormatting>
  <conditionalFormatting sqref="F81">
    <cfRule type="expression" dxfId="196" priority="174">
      <formula>AND($I$14="Low", $I$18="Very likely")</formula>
    </cfRule>
  </conditionalFormatting>
  <conditionalFormatting sqref="F82">
    <cfRule type="expression" dxfId="195" priority="172">
      <formula>AND($I$14="Low", $I$18="Likely")</formula>
    </cfRule>
  </conditionalFormatting>
  <conditionalFormatting sqref="F83">
    <cfRule type="expression" dxfId="194" priority="171">
      <formula>AND($I$14="Low", $I$18="Unlikely")</formula>
    </cfRule>
  </conditionalFormatting>
  <conditionalFormatting sqref="F84">
    <cfRule type="expression" dxfId="193" priority="170">
      <formula>AND($I$14="Low", $I$18="Very unlikely")</formula>
    </cfRule>
  </conditionalFormatting>
  <conditionalFormatting sqref="F90">
    <cfRule type="expression" dxfId="192" priority="108">
      <formula>AND($J$14="Low", $J$18="Almost certain")</formula>
    </cfRule>
  </conditionalFormatting>
  <conditionalFormatting sqref="F91">
    <cfRule type="expression" dxfId="191" priority="107">
      <formula>AND($J$14="Low", $J$18="Very likely")</formula>
    </cfRule>
  </conditionalFormatting>
  <conditionalFormatting sqref="F92">
    <cfRule type="expression" dxfId="190" priority="106">
      <formula>AND($J$14="Low", $J$18="Likely")</formula>
    </cfRule>
  </conditionalFormatting>
  <conditionalFormatting sqref="F93">
    <cfRule type="expression" dxfId="189" priority="105">
      <formula>AND($J$14="Low", $J$18="Unlikely")</formula>
    </cfRule>
  </conditionalFormatting>
  <conditionalFormatting sqref="F94">
    <cfRule type="expression" dxfId="188" priority="104">
      <formula>AND($J$14="Low", $J$18="Very unlikely")</formula>
    </cfRule>
  </conditionalFormatting>
  <conditionalFormatting sqref="F100">
    <cfRule type="expression" dxfId="187" priority="87">
      <formula>AND($K$14="Low", $K$18="Almost certain")</formula>
    </cfRule>
  </conditionalFormatting>
  <conditionalFormatting sqref="F101">
    <cfRule type="expression" dxfId="186" priority="90">
      <formula>AND($K$14="Low", $K$18="Very likely")</formula>
    </cfRule>
  </conditionalFormatting>
  <conditionalFormatting sqref="F102">
    <cfRule type="expression" dxfId="185" priority="91">
      <formula>AND($K$14="Low", $K$18="Likely")</formula>
    </cfRule>
  </conditionalFormatting>
  <conditionalFormatting sqref="F103">
    <cfRule type="expression" dxfId="184" priority="92">
      <formula>AND($K$14="Low", $K$18="Unlikely")</formula>
    </cfRule>
  </conditionalFormatting>
  <conditionalFormatting sqref="F104">
    <cfRule type="expression" dxfId="183" priority="94">
      <formula>AND($K$14="Low", $K$18="Very unlikely")</formula>
    </cfRule>
  </conditionalFormatting>
  <conditionalFormatting sqref="F110">
    <cfRule type="expression" dxfId="182" priority="54">
      <formula>AND($L$14="Low", $L$18="Almost certain")</formula>
    </cfRule>
  </conditionalFormatting>
  <conditionalFormatting sqref="F111">
    <cfRule type="expression" dxfId="181" priority="56">
      <formula>AND($L$14="Low", $L$18="Very likely")</formula>
    </cfRule>
  </conditionalFormatting>
  <conditionalFormatting sqref="F112">
    <cfRule type="expression" dxfId="180" priority="57">
      <formula>AND($L$14="Low", $L$18="Likely")</formula>
    </cfRule>
  </conditionalFormatting>
  <conditionalFormatting sqref="F113">
    <cfRule type="expression" dxfId="179" priority="58">
      <formula>AND($L$14="Low", $L$18="Unlikely")</formula>
    </cfRule>
  </conditionalFormatting>
  <conditionalFormatting sqref="F114">
    <cfRule type="expression" dxfId="178" priority="59">
      <formula>AND($L$14="Low", $L$18="Very unlikely")</formula>
    </cfRule>
  </conditionalFormatting>
  <conditionalFormatting sqref="F120 H120:I120 E121:I124">
    <cfRule type="containsText" dxfId="177" priority="343" operator="containsText" text="YELLOW">
      <formula>NOT(ISERROR(SEARCH("YELLOW",E120)))</formula>
    </cfRule>
    <cfRule type="containsText" dxfId="176" priority="344" operator="containsText" text="GREEN">
      <formula>NOT(ISERROR(SEARCH("GREEN",E120)))</formula>
    </cfRule>
  </conditionalFormatting>
  <conditionalFormatting sqref="F120">
    <cfRule type="expression" dxfId="175" priority="18">
      <formula>AND($M$14="Low", $M$18="Almost certain")</formula>
    </cfRule>
  </conditionalFormatting>
  <conditionalFormatting sqref="F121">
    <cfRule type="expression" dxfId="174" priority="19">
      <formula>AND($M$14="Low", $M$18="Very likely")</formula>
    </cfRule>
  </conditionalFormatting>
  <conditionalFormatting sqref="F122">
    <cfRule type="expression" dxfId="173" priority="20">
      <formula>AND($M$14="Low", $M$18="Likely")</formula>
    </cfRule>
  </conditionalFormatting>
  <conditionalFormatting sqref="F123">
    <cfRule type="expression" dxfId="172" priority="21">
      <formula>AND($M$14="Low", $M$18="Unlikely")</formula>
    </cfRule>
  </conditionalFormatting>
  <conditionalFormatting sqref="F124">
    <cfRule type="expression" dxfId="171" priority="22">
      <formula>AND($M$14="Low", $M$18="Very unlikely")</formula>
    </cfRule>
  </conditionalFormatting>
  <conditionalFormatting sqref="F110:I110 F111:H112 F113:I114">
    <cfRule type="containsText" dxfId="170" priority="347" operator="containsText" text="YELLOW">
      <formula>NOT(ISERROR(SEARCH("YELLOW",F110)))</formula>
    </cfRule>
    <cfRule type="containsText" dxfId="169" priority="348" operator="containsText" text="GREEN">
      <formula>NOT(ISERROR(SEARCH("GREEN",F110)))</formula>
    </cfRule>
  </conditionalFormatting>
  <conditionalFormatting sqref="F110:I110 F113:I114 F111:H112">
    <cfRule type="colorScale" priority="349">
      <colorScale>
        <cfvo type="min"/>
        <cfvo type="percentile" val="50"/>
        <cfvo type="max"/>
        <color rgb="FFF8696B"/>
        <color rgb="FFFFEB84"/>
        <color rgb="FF63BE7B"/>
      </colorScale>
    </cfRule>
  </conditionalFormatting>
  <conditionalFormatting sqref="F113:I114 F111:H112 F110:I110">
    <cfRule type="containsText" dxfId="168" priority="346" operator="containsText" text="RED">
      <formula>NOT(ISERROR(SEARCH("RED",F110)))</formula>
    </cfRule>
  </conditionalFormatting>
  <conditionalFormatting sqref="G30">
    <cfRule type="expression" dxfId="167" priority="318">
      <formula>AND($D$14="Moderate",$D$18="Almost certain")</formula>
    </cfRule>
  </conditionalFormatting>
  <conditionalFormatting sqref="G31">
    <cfRule type="expression" dxfId="166" priority="266">
      <formula>AND($D$14="Moderate", $D$18="Very likely")</formula>
    </cfRule>
    <cfRule type="expression" dxfId="165" priority="317">
      <formula>AND($D$14="Moderate",$D$18="Highly likely")</formula>
    </cfRule>
  </conditionalFormatting>
  <conditionalFormatting sqref="G32">
    <cfRule type="expression" dxfId="164" priority="316">
      <formula>AND($D$14="Moderate",$D$18="Likely")</formula>
    </cfRule>
  </conditionalFormatting>
  <conditionalFormatting sqref="G33">
    <cfRule type="expression" dxfId="163" priority="315">
      <formula>AND($D$14="Moderate",$D$18="Unlikely")</formula>
    </cfRule>
  </conditionalFormatting>
  <conditionalFormatting sqref="G34">
    <cfRule type="expression" dxfId="162" priority="314">
      <formula>AND($D$14="Moderate",$D$18="Very unlikely")</formula>
    </cfRule>
  </conditionalFormatting>
  <conditionalFormatting sqref="G40">
    <cfRule type="expression" dxfId="161" priority="290">
      <formula>AND($E$14="Moderate", $E$18="Almost certain")</formula>
    </cfRule>
  </conditionalFormatting>
  <conditionalFormatting sqref="G41">
    <cfRule type="expression" dxfId="160" priority="271">
      <formula>AND($E$14="Moderate", $E$18="Very likely")</formula>
    </cfRule>
    <cfRule type="expression" dxfId="159" priority="288">
      <formula>AND($E$14="Moderate", $E$18="Highly likely")</formula>
    </cfRule>
  </conditionalFormatting>
  <conditionalFormatting sqref="G42">
    <cfRule type="expression" dxfId="158" priority="287">
      <formula>AND($E$14="Moderate", $E$18="Likely")</formula>
    </cfRule>
  </conditionalFormatting>
  <conditionalFormatting sqref="G43">
    <cfRule type="expression" dxfId="157" priority="263">
      <formula>AND($E$14="Moderate", $E$18="Unlikely")</formula>
    </cfRule>
    <cfRule type="expression" dxfId="156" priority="286">
      <formula>AND($E$14="Moderate", $E$18="Unikely")</formula>
    </cfRule>
  </conditionalFormatting>
  <conditionalFormatting sqref="G44">
    <cfRule type="expression" dxfId="155" priority="285">
      <formula>AND($E$14="Moderate", $E$18="Very unlikely")</formula>
    </cfRule>
  </conditionalFormatting>
  <conditionalFormatting sqref="G50">
    <cfRule type="expression" dxfId="154" priority="250">
      <formula>AND($F$14="Moderate", $F$18="Almost certain")</formula>
    </cfRule>
  </conditionalFormatting>
  <conditionalFormatting sqref="G51">
    <cfRule type="expression" dxfId="153" priority="249">
      <formula>AND($F$14="Moderate", $F$18="Very likely")</formula>
    </cfRule>
  </conditionalFormatting>
  <conditionalFormatting sqref="G52">
    <cfRule type="expression" dxfId="152" priority="248">
      <formula>AND($F$14="Moderate", $F$18="Likely")</formula>
    </cfRule>
  </conditionalFormatting>
  <conditionalFormatting sqref="G53">
    <cfRule type="expression" dxfId="151" priority="247">
      <formula>AND($F$14="Moderate", $F$18="Unlikely")</formula>
    </cfRule>
  </conditionalFormatting>
  <conditionalFormatting sqref="G54">
    <cfRule type="expression" dxfId="150" priority="246">
      <formula>AND($F$14="Moderate", $F$18="Very unlikely")</formula>
    </cfRule>
  </conditionalFormatting>
  <conditionalFormatting sqref="G60">
    <cfRule type="expression" dxfId="149" priority="222">
      <formula>AND($G$14="Moderate", $G$18="Almost certain")</formula>
    </cfRule>
  </conditionalFormatting>
  <conditionalFormatting sqref="G61">
    <cfRule type="expression" dxfId="148" priority="221">
      <formula>AND($G$14="Moderate", $G$18="Very likely")</formula>
    </cfRule>
  </conditionalFormatting>
  <conditionalFormatting sqref="G62">
    <cfRule type="expression" dxfId="147" priority="218">
      <formula>AND($G$14="Moderate", $G$18="Likely")</formula>
    </cfRule>
  </conditionalFormatting>
  <conditionalFormatting sqref="G63">
    <cfRule type="expression" dxfId="146" priority="219">
      <formula>AND($G$14="Moderate", $G$18="Unlikely")</formula>
    </cfRule>
  </conditionalFormatting>
  <conditionalFormatting sqref="G64">
    <cfRule type="expression" dxfId="145" priority="217">
      <formula>AND($G$14="Moderate", $G$18="Very unlikely")</formula>
    </cfRule>
  </conditionalFormatting>
  <conditionalFormatting sqref="G70">
    <cfRule type="expression" dxfId="144" priority="194">
      <formula>AND($H$14="Moderate", $H$18="Almost certain")</formula>
    </cfRule>
  </conditionalFormatting>
  <conditionalFormatting sqref="G71">
    <cfRule type="expression" dxfId="143" priority="195">
      <formula>AND($H$14="Moderate", $H$18="Very likely")</formula>
    </cfRule>
  </conditionalFormatting>
  <conditionalFormatting sqref="G72">
    <cfRule type="expression" dxfId="142" priority="193">
      <formula>AND($H$14="Moderate", $H$18="Likely")</formula>
    </cfRule>
  </conditionalFormatting>
  <conditionalFormatting sqref="G73">
    <cfRule type="expression" dxfId="141" priority="192">
      <formula>AND($H$14="Moderate", $H$18="Unlikely")</formula>
    </cfRule>
  </conditionalFormatting>
  <conditionalFormatting sqref="G74">
    <cfRule type="expression" dxfId="140" priority="191">
      <formula>AND($H$14="Moderate", $H$18="Very unlikely")</formula>
    </cfRule>
  </conditionalFormatting>
  <conditionalFormatting sqref="G80">
    <cfRule type="expression" dxfId="139" priority="168">
      <formula>"ET($I$14=""Moderate""; $I$18=""Almost certain"")"</formula>
    </cfRule>
  </conditionalFormatting>
  <conditionalFormatting sqref="G81">
    <cfRule type="expression" dxfId="138" priority="169">
      <formula>AND($I$14="Moderate", $I$18="Very likely")</formula>
    </cfRule>
  </conditionalFormatting>
  <conditionalFormatting sqref="G82">
    <cfRule type="expression" dxfId="137" priority="165">
      <formula>"ET($I$14=""Moderate""; $I$18=""Likely"")"</formula>
    </cfRule>
  </conditionalFormatting>
  <conditionalFormatting sqref="G83">
    <cfRule type="expression" dxfId="136" priority="112">
      <formula>AND($I$14="Moderate", $I$18="Unlikely")</formula>
    </cfRule>
    <cfRule type="expression" dxfId="135" priority="166">
      <formula>"ET($I$14=""Moderate""; $I$18=""Unlikely"")"</formula>
    </cfRule>
  </conditionalFormatting>
  <conditionalFormatting sqref="G84">
    <cfRule type="expression" dxfId="134" priority="113">
      <formula>AND($I$14="Moderate", $I$18="Veryun likely")</formula>
    </cfRule>
    <cfRule type="expression" dxfId="133" priority="164">
      <formula>"ET($I$14=""Moderate""; $I$18=""Very unlikely"")"</formula>
    </cfRule>
  </conditionalFormatting>
  <conditionalFormatting sqref="G90">
    <cfRule type="expression" dxfId="132" priority="109">
      <formula>AND($I$14="Moderate", $I$18="Almost certain")</formula>
    </cfRule>
    <cfRule type="expression" dxfId="131" priority="120">
      <formula>AND($J$14="Moderate", $J$18="Almost certain")</formula>
    </cfRule>
  </conditionalFormatting>
  <conditionalFormatting sqref="G91:G92">
    <cfRule type="expression" dxfId="130" priority="122">
      <formula>AND($J$14="Moderate", $J$18="Very likely")</formula>
    </cfRule>
  </conditionalFormatting>
  <conditionalFormatting sqref="G92">
    <cfRule type="expression" dxfId="129" priority="111">
      <formula>AND($J$14="Maoderate", $J$18="Likely")</formula>
    </cfRule>
    <cfRule type="expression" dxfId="128" priority="121">
      <formula>AND($J$14="Moderate", $J$18="Likely")</formula>
    </cfRule>
  </conditionalFormatting>
  <conditionalFormatting sqref="G93">
    <cfRule type="expression" dxfId="127" priority="124">
      <formula>AND($J$14="Moderate", $J$18="Unlikely")</formula>
    </cfRule>
  </conditionalFormatting>
  <conditionalFormatting sqref="G94">
    <cfRule type="expression" dxfId="126" priority="135">
      <formula>AND($J$14="Moderate", $J$18="Very Unlikely")</formula>
    </cfRule>
    <cfRule type="expression" dxfId="125" priority="136">
      <formula>AND($J$14="Moderate", $J$18="Very unikely")</formula>
    </cfRule>
  </conditionalFormatting>
  <conditionalFormatting sqref="G100">
    <cfRule type="expression" dxfId="124" priority="82">
      <formula>AND($K$14="Moderate", $K$18="Almost certain")</formula>
    </cfRule>
  </conditionalFormatting>
  <conditionalFormatting sqref="G101">
    <cfRule type="expression" dxfId="123" priority="83">
      <formula>AND($K$14="Moderate", $K$18="Very likely")</formula>
    </cfRule>
  </conditionalFormatting>
  <conditionalFormatting sqref="G102">
    <cfRule type="expression" dxfId="122" priority="84">
      <formula>AND($K$14="Moderate", $K$18="Likely")</formula>
    </cfRule>
  </conditionalFormatting>
  <conditionalFormatting sqref="G103">
    <cfRule type="expression" dxfId="121" priority="85">
      <formula>AND($K$14="Moderate", $K$18="Unlikely")</formula>
    </cfRule>
  </conditionalFormatting>
  <conditionalFormatting sqref="G104">
    <cfRule type="expression" dxfId="120" priority="86">
      <formula>AND($K$14="Moderate", $K$18="Very unlikely")</formula>
    </cfRule>
  </conditionalFormatting>
  <conditionalFormatting sqref="G110">
    <cfRule type="expression" dxfId="119" priority="44">
      <formula>AND($L$14="Moderate", $L$18="Almost certain")</formula>
    </cfRule>
  </conditionalFormatting>
  <conditionalFormatting sqref="G111">
    <cfRule type="expression" dxfId="118" priority="45">
      <formula>AND($L$14="Moderate", $L$18="Very likely")</formula>
    </cfRule>
  </conditionalFormatting>
  <conditionalFormatting sqref="G112">
    <cfRule type="expression" dxfId="117" priority="46">
      <formula>AND($L$14="Moderate", $L$18="Likely")</formula>
    </cfRule>
  </conditionalFormatting>
  <conditionalFormatting sqref="G113">
    <cfRule type="expression" dxfId="116" priority="47">
      <formula>AND($L$14="Moderate", $L$18="Unlikely")</formula>
    </cfRule>
  </conditionalFormatting>
  <conditionalFormatting sqref="G114">
    <cfRule type="expression" dxfId="115" priority="48">
      <formula>AND($L$14="Moderate", $L$18="Very unlikely")</formula>
    </cfRule>
  </conditionalFormatting>
  <conditionalFormatting sqref="G120">
    <cfRule type="expression" dxfId="114" priority="1">
      <formula>AND($M$14="Moderate", $M$18="Almost certain")</formula>
    </cfRule>
  </conditionalFormatting>
  <conditionalFormatting sqref="G121">
    <cfRule type="expression" dxfId="113" priority="14">
      <formula>AND($M$14="Moderate", $M$18="Very likely")</formula>
    </cfRule>
  </conditionalFormatting>
  <conditionalFormatting sqref="G122">
    <cfRule type="expression" dxfId="112" priority="15">
      <formula>AND($M$14="Moderate", $M$18="Likely")</formula>
    </cfRule>
  </conditionalFormatting>
  <conditionalFormatting sqref="G123">
    <cfRule type="expression" dxfId="111" priority="16">
      <formula>AND($M$14="Moderate", $M$18="Unlikely")</formula>
    </cfRule>
  </conditionalFormatting>
  <conditionalFormatting sqref="G124">
    <cfRule type="expression" dxfId="110" priority="17">
      <formula>AND($M$14="Moderate", $M$18="Very unlikely")</formula>
    </cfRule>
  </conditionalFormatting>
  <conditionalFormatting sqref="G90:I94">
    <cfRule type="containsText" dxfId="109" priority="354" operator="containsText" text="RED">
      <formula>NOT(ISERROR(SEARCH("RED",G90)))</formula>
    </cfRule>
    <cfRule type="containsText" dxfId="108" priority="355" operator="containsText" text="YELLOW">
      <formula>NOT(ISERROR(SEARCH("YELLOW",G90)))</formula>
    </cfRule>
    <cfRule type="containsText" dxfId="107" priority="356" operator="containsText" text="GREEN">
      <formula>NOT(ISERROR(SEARCH("GREEN",G90)))</formula>
    </cfRule>
    <cfRule type="colorScale" priority="357">
      <colorScale>
        <cfvo type="min"/>
        <cfvo type="percentile" val="50"/>
        <cfvo type="max"/>
        <color rgb="FFF8696B"/>
        <color rgb="FFFFEB84"/>
        <color rgb="FF63BE7B"/>
      </colorScale>
    </cfRule>
  </conditionalFormatting>
  <conditionalFormatting sqref="H30">
    <cfRule type="expression" dxfId="106" priority="313">
      <formula>AND($D$14="High",$D$18="Almost certain")</formula>
    </cfRule>
  </conditionalFormatting>
  <conditionalFormatting sqref="H31">
    <cfRule type="expression" dxfId="105" priority="265">
      <formula>AND($D$14="High", $D$18="Very likely")</formula>
    </cfRule>
    <cfRule type="expression" dxfId="104" priority="312">
      <formula>AND($D$14="High",$D$18="Highly likely")</formula>
    </cfRule>
  </conditionalFormatting>
  <conditionalFormatting sqref="H32">
    <cfRule type="expression" dxfId="103" priority="311">
      <formula>AND($D$14="High",$D$18="Likely")</formula>
    </cfRule>
  </conditionalFormatting>
  <conditionalFormatting sqref="H33">
    <cfRule type="expression" dxfId="102" priority="310">
      <formula>AND($D$14="High",$D$18="Unlikely")</formula>
    </cfRule>
  </conditionalFormatting>
  <conditionalFormatting sqref="H34">
    <cfRule type="expression" dxfId="101" priority="309">
      <formula>AND($D$14="High",$D$18="Very unlikely")</formula>
    </cfRule>
  </conditionalFormatting>
  <conditionalFormatting sqref="H40">
    <cfRule type="expression" dxfId="100" priority="284">
      <formula>AND($E$14="High", $E$18="Almost certain")</formula>
    </cfRule>
  </conditionalFormatting>
  <conditionalFormatting sqref="H40:H41">
    <cfRule type="expression" dxfId="99" priority="270">
      <formula>AND($E$14="High", $E$18="Very likely")</formula>
    </cfRule>
  </conditionalFormatting>
  <conditionalFormatting sqref="H41">
    <cfRule type="expression" dxfId="98" priority="283">
      <formula>AND($E$14="High", $E$18="Highly likely")</formula>
    </cfRule>
  </conditionalFormatting>
  <conditionalFormatting sqref="H42">
    <cfRule type="expression" dxfId="97" priority="282">
      <formula>AND($E$14="High", $E$18="Likely")</formula>
    </cfRule>
  </conditionalFormatting>
  <conditionalFormatting sqref="H43">
    <cfRule type="expression" dxfId="96" priority="281">
      <formula>AND($E$14="High", $E$18="Unlikely")</formula>
    </cfRule>
  </conditionalFormatting>
  <conditionalFormatting sqref="H44">
    <cfRule type="expression" dxfId="95" priority="280">
      <formula>AND($E$14="High", $E$18="Very unlikely")</formula>
    </cfRule>
  </conditionalFormatting>
  <conditionalFormatting sqref="H50">
    <cfRule type="expression" dxfId="94" priority="245">
      <formula>AND($F$14="High", $F$18="Almost certain")</formula>
    </cfRule>
  </conditionalFormatting>
  <conditionalFormatting sqref="H51">
    <cfRule type="expression" dxfId="93" priority="244">
      <formula>AND($F$14="High", $F$18="Very likely")</formula>
    </cfRule>
  </conditionalFormatting>
  <conditionalFormatting sqref="H52">
    <cfRule type="expression" dxfId="92" priority="243">
      <formula>AND($F$14="High", $F$18="Likely")</formula>
    </cfRule>
  </conditionalFormatting>
  <conditionalFormatting sqref="H53">
    <cfRule type="expression" dxfId="91" priority="242">
      <formula>AND($F$14="High", $F$18="Unlikely")</formula>
    </cfRule>
  </conditionalFormatting>
  <conditionalFormatting sqref="H54">
    <cfRule type="expression" dxfId="90" priority="241">
      <formula>AND($F$14="High", $F$18="Very unlikely")</formula>
    </cfRule>
  </conditionalFormatting>
  <conditionalFormatting sqref="H60">
    <cfRule type="expression" dxfId="89" priority="216">
      <formula>AND($G$14="High", $G$18="Almost certain")</formula>
    </cfRule>
  </conditionalFormatting>
  <conditionalFormatting sqref="H61">
    <cfRule type="expression" dxfId="88" priority="215">
      <formula>AND($G$14="High", $G$18="Very likely")</formula>
    </cfRule>
  </conditionalFormatting>
  <conditionalFormatting sqref="H62">
    <cfRule type="expression" dxfId="87" priority="214">
      <formula>AND($G$14="High", $G$18="Likely")</formula>
    </cfRule>
  </conditionalFormatting>
  <conditionalFormatting sqref="H63">
    <cfRule type="expression" dxfId="86" priority="212">
      <formula>AND($G$14="High", $G$18="Unlikely")</formula>
    </cfRule>
  </conditionalFormatting>
  <conditionalFormatting sqref="H64">
    <cfRule type="expression" dxfId="85" priority="211">
      <formula>AND($G$14="High", $G$18="Very unlikely")</formula>
    </cfRule>
  </conditionalFormatting>
  <conditionalFormatting sqref="H70">
    <cfRule type="expression" dxfId="84" priority="189">
      <formula>AND($H$14="High", $H$18="Almost certain")</formula>
    </cfRule>
  </conditionalFormatting>
  <conditionalFormatting sqref="H71">
    <cfRule type="expression" dxfId="83" priority="190">
      <formula>AND($H$14="High", $H$18="Very likely")</formula>
    </cfRule>
  </conditionalFormatting>
  <conditionalFormatting sqref="H72">
    <cfRule type="expression" dxfId="82" priority="188">
      <formula>AND($H$14="High", $H$18="Likely")</formula>
    </cfRule>
  </conditionalFormatting>
  <conditionalFormatting sqref="H73">
    <cfRule type="expression" dxfId="81" priority="187">
      <formula>AND($H$14="High", $H$18="Unlikely")</formula>
    </cfRule>
  </conditionalFormatting>
  <conditionalFormatting sqref="H74">
    <cfRule type="expression" dxfId="80" priority="186">
      <formula>AND($H$14="High", $H$18="Very unlikely")</formula>
    </cfRule>
  </conditionalFormatting>
  <conditionalFormatting sqref="H80">
    <cfRule type="expression" dxfId="79" priority="162">
      <formula>"ET($I$14=""High""; $I$18=""Almost certain"")"</formula>
    </cfRule>
  </conditionalFormatting>
  <conditionalFormatting sqref="H81">
    <cfRule type="expression" dxfId="78" priority="163">
      <formula>"ET($I$14=""High""; $I$18=""Very likely"")"</formula>
    </cfRule>
  </conditionalFormatting>
  <conditionalFormatting sqref="H82">
    <cfRule type="expression" dxfId="77" priority="160">
      <formula>"ET($I$14=""High""; $I$18=""Likely"")"</formula>
    </cfRule>
  </conditionalFormatting>
  <conditionalFormatting sqref="H83">
    <cfRule type="expression" dxfId="76" priority="159">
      <formula>"ET($I$14=""High""; $I$18=""Unlikely"")"</formula>
    </cfRule>
  </conditionalFormatting>
  <conditionalFormatting sqref="H84">
    <cfRule type="expression" dxfId="75" priority="158">
      <formula>"ET($I$14=""High""; $I$18=""Very unlikely"")"</formula>
    </cfRule>
  </conditionalFormatting>
  <conditionalFormatting sqref="H90">
    <cfRule type="expression" dxfId="74" priority="128">
      <formula>AND($J$14="High", $J$18="Almost certain")</formula>
    </cfRule>
  </conditionalFormatting>
  <conditionalFormatting sqref="H91">
    <cfRule type="expression" dxfId="73" priority="129">
      <formula>AND($J$14="High", $J$18="Very likely")</formula>
    </cfRule>
  </conditionalFormatting>
  <conditionalFormatting sqref="H92">
    <cfRule type="expression" dxfId="72" priority="127">
      <formula>AND($J$14="High", $J$18="Likely")</formula>
    </cfRule>
  </conditionalFormatting>
  <conditionalFormatting sqref="H93">
    <cfRule type="expression" dxfId="71" priority="126">
      <formula>AND($J$14="High", $J$18="Unlikely")</formula>
    </cfRule>
  </conditionalFormatting>
  <conditionalFormatting sqref="H94">
    <cfRule type="expression" dxfId="70" priority="125">
      <formula>AND($J$14="High", $J$18="Very unlikely")</formula>
    </cfRule>
  </conditionalFormatting>
  <conditionalFormatting sqref="H100">
    <cfRule type="expression" dxfId="69" priority="76">
      <formula>AND($K$14="High", $K$18="Almost certain")</formula>
    </cfRule>
  </conditionalFormatting>
  <conditionalFormatting sqref="H101">
    <cfRule type="expression" dxfId="68" priority="77">
      <formula>AND($K$14="High", $K$18="Very likely")</formula>
    </cfRule>
  </conditionalFormatting>
  <conditionalFormatting sqref="H102">
    <cfRule type="expression" dxfId="67" priority="79">
      <formula>AND($K$14="High", $K$18="Likely")</formula>
    </cfRule>
  </conditionalFormatting>
  <conditionalFormatting sqref="H103">
    <cfRule type="expression" dxfId="66" priority="80">
      <formula>AND($K$14="High", $K$18="Unlikely")</formula>
    </cfRule>
  </conditionalFormatting>
  <conditionalFormatting sqref="H104">
    <cfRule type="expression" dxfId="65" priority="81">
      <formula>AND($K$14="High", $K$18="Very unlikely")</formula>
    </cfRule>
  </conditionalFormatting>
  <conditionalFormatting sqref="H110">
    <cfRule type="expression" dxfId="64" priority="39">
      <formula>AND($L$14="High", $L$18="Almost certain")</formula>
    </cfRule>
  </conditionalFormatting>
  <conditionalFormatting sqref="H111">
    <cfRule type="expression" dxfId="63" priority="40">
      <formula>AND($L$14="High", $L$18="Very likely")</formula>
    </cfRule>
  </conditionalFormatting>
  <conditionalFormatting sqref="H112">
    <cfRule type="expression" dxfId="62" priority="41">
      <formula>AND($L$14="High", $L$18="Very Likely")</formula>
    </cfRule>
  </conditionalFormatting>
  <conditionalFormatting sqref="H113">
    <cfRule type="expression" dxfId="61" priority="42">
      <formula>AND($L$14="High", $L$18="Unlikely")</formula>
    </cfRule>
  </conditionalFormatting>
  <conditionalFormatting sqref="H114">
    <cfRule type="expression" dxfId="60" priority="43">
      <formula>AND($L$14="High", $L$18="Very unlikely")</formula>
    </cfRule>
  </conditionalFormatting>
  <conditionalFormatting sqref="H120">
    <cfRule type="expression" dxfId="59" priority="8">
      <formula>AND($M$14="High", $M$18="Almost certain")</formula>
    </cfRule>
  </conditionalFormatting>
  <conditionalFormatting sqref="H121">
    <cfRule type="expression" dxfId="58" priority="9">
      <formula>AND($M$14="High", $M$18="Very likely")</formula>
    </cfRule>
  </conditionalFormatting>
  <conditionalFormatting sqref="H122">
    <cfRule type="expression" dxfId="57" priority="10">
      <formula>AND($M$14="High", $M$18="Likely")</formula>
    </cfRule>
  </conditionalFormatting>
  <conditionalFormatting sqref="H123">
    <cfRule type="expression" dxfId="56" priority="11">
      <formula>AND($M$14="High", $M$18="Unlikely")</formula>
    </cfRule>
  </conditionalFormatting>
  <conditionalFormatting sqref="H124">
    <cfRule type="expression" dxfId="55" priority="12">
      <formula>AND($M$14="High", $M$18="Very unlikely")</formula>
    </cfRule>
  </conditionalFormatting>
  <conditionalFormatting sqref="I30">
    <cfRule type="expression" dxfId="54" priority="308">
      <formula>AND($D$14="Very high",$D$18="Almost certain")</formula>
    </cfRule>
  </conditionalFormatting>
  <conditionalFormatting sqref="I31">
    <cfRule type="expression" dxfId="53" priority="264">
      <formula>AND($D$14="Very high", $D$18="Very likely")</formula>
    </cfRule>
    <cfRule type="expression" dxfId="52" priority="307">
      <formula>AND($D$14="Very high",$D$18="Highly likely")</formula>
    </cfRule>
  </conditionalFormatting>
  <conditionalFormatting sqref="I32">
    <cfRule type="expression" dxfId="51" priority="306">
      <formula>AND($D$14="Very high",$D$18="Likely")</formula>
    </cfRule>
  </conditionalFormatting>
  <conditionalFormatting sqref="I33">
    <cfRule type="expression" dxfId="50" priority="305">
      <formula>AND($D$14="Very high",$D$18="Unlikely")</formula>
    </cfRule>
  </conditionalFormatting>
  <conditionalFormatting sqref="I34">
    <cfRule type="expression" dxfId="49" priority="304">
      <formula>AND($D$14="Very high",$D$18="Very unlikely")</formula>
    </cfRule>
  </conditionalFormatting>
  <conditionalFormatting sqref="I40">
    <cfRule type="expression" dxfId="48" priority="279">
      <formula>AND($E$14="Very high", $E$18="Almost certain")</formula>
    </cfRule>
  </conditionalFormatting>
  <conditionalFormatting sqref="I41">
    <cfRule type="expression" dxfId="47" priority="269">
      <formula>AND($E$14="Very high", $E$18="Very likely")</formula>
    </cfRule>
    <cfRule type="expression" dxfId="46" priority="278">
      <formula>AND($E$14="Very high", $E$18="Highly likely")</formula>
    </cfRule>
  </conditionalFormatting>
  <conditionalFormatting sqref="I42">
    <cfRule type="expression" dxfId="45" priority="277">
      <formula>AND($E$14="Very high", $E$18="Likely")</formula>
    </cfRule>
  </conditionalFormatting>
  <conditionalFormatting sqref="I43">
    <cfRule type="expression" dxfId="44" priority="276">
      <formula>AND($E$14="Very high", $E$18="Unlikely")</formula>
    </cfRule>
  </conditionalFormatting>
  <conditionalFormatting sqref="I44">
    <cfRule type="expression" dxfId="43" priority="275">
      <formula>AND($E$14="Very high", $E$18="Very unlikely")</formula>
    </cfRule>
  </conditionalFormatting>
  <conditionalFormatting sqref="I50">
    <cfRule type="expression" dxfId="42" priority="240">
      <formula>AND($F$14="Very high", $F$18="Almost certain")</formula>
    </cfRule>
  </conditionalFormatting>
  <conditionalFormatting sqref="I51">
    <cfRule type="expression" dxfId="41" priority="239">
      <formula>AND($F$14="Very high", $F$18="Very likely")</formula>
    </cfRule>
  </conditionalFormatting>
  <conditionalFormatting sqref="I52">
    <cfRule type="expression" dxfId="40" priority="238">
      <formula>AND($F$14="Very high", $F$18="Likely")</formula>
    </cfRule>
  </conditionalFormatting>
  <conditionalFormatting sqref="I53">
    <cfRule type="expression" dxfId="39" priority="237">
      <formula>AND($F$14="Very high", $F$18="Unlikely")</formula>
    </cfRule>
  </conditionalFormatting>
  <conditionalFormatting sqref="I54">
    <cfRule type="expression" dxfId="38" priority="236">
      <formula>AND($F$14="Very high", $F$18="Very unlikely")</formula>
    </cfRule>
  </conditionalFormatting>
  <conditionalFormatting sqref="I60">
    <cfRule type="expression" dxfId="37" priority="210">
      <formula>AND($G$14="Very high", $G$18="Almost certain")</formula>
    </cfRule>
  </conditionalFormatting>
  <conditionalFormatting sqref="I61">
    <cfRule type="expression" dxfId="36" priority="209">
      <formula>AND($G$14="Very high", $G$18="Very likely")</formula>
    </cfRule>
  </conditionalFormatting>
  <conditionalFormatting sqref="I62">
    <cfRule type="expression" dxfId="35" priority="208">
      <formula>AND($G$14="Very high", $G$18="Likely")</formula>
    </cfRule>
  </conditionalFormatting>
  <conditionalFormatting sqref="I63">
    <cfRule type="expression" dxfId="34" priority="207">
      <formula>AND($G$14="Very high", $G$18="Unlikely")</formula>
    </cfRule>
  </conditionalFormatting>
  <conditionalFormatting sqref="I64">
    <cfRule type="expression" dxfId="33" priority="206">
      <formula>AND($G$14="Very high", $G$18="Very unlikely")</formula>
    </cfRule>
  </conditionalFormatting>
  <conditionalFormatting sqref="I70">
    <cfRule type="expression" dxfId="32" priority="184">
      <formula>AND($H$14="Very high", $H$18="Almost certain")</formula>
    </cfRule>
  </conditionalFormatting>
  <conditionalFormatting sqref="I71">
    <cfRule type="expression" dxfId="31" priority="185">
      <formula>AND($H$14="Very high", $H$18="Very likely")</formula>
    </cfRule>
  </conditionalFormatting>
  <conditionalFormatting sqref="I72">
    <cfRule type="expression" dxfId="30" priority="183">
      <formula>AND($H$14="Very high", $H$18="Likely")</formula>
    </cfRule>
  </conditionalFormatting>
  <conditionalFormatting sqref="I73">
    <cfRule type="expression" dxfId="29" priority="182">
      <formula>AND($H$14="Very high", $H$18="Unikely")</formula>
    </cfRule>
  </conditionalFormatting>
  <conditionalFormatting sqref="I74">
    <cfRule type="expression" dxfId="28" priority="181">
      <formula>AND($H$14="Very high", $H$18="Very unlikely")</formula>
    </cfRule>
  </conditionalFormatting>
  <conditionalFormatting sqref="I80">
    <cfRule type="expression" dxfId="27" priority="156">
      <formula>"ET($I$14=""Very high""; $I$18=""Almost certain"")"</formula>
    </cfRule>
  </conditionalFormatting>
  <conditionalFormatting sqref="I81">
    <cfRule type="expression" dxfId="26" priority="157">
      <formula>"ET($I$14=""Very high""; $I$18=""Very likely"")"</formula>
    </cfRule>
  </conditionalFormatting>
  <conditionalFormatting sqref="I82">
    <cfRule type="expression" dxfId="25" priority="155">
      <formula>"ET($I$14=""Very high""; $I$18=""Likely"")"</formula>
    </cfRule>
  </conditionalFormatting>
  <conditionalFormatting sqref="I83">
    <cfRule type="expression" dxfId="24" priority="154">
      <formula>"ET($I$14=""Very high""; $I$18=""Unlikely"")"</formula>
    </cfRule>
  </conditionalFormatting>
  <conditionalFormatting sqref="I84">
    <cfRule type="expression" dxfId="23" priority="153">
      <formula>"ET($I$14=""Very high""; $I$18=""Very unlikely"")"</formula>
    </cfRule>
  </conditionalFormatting>
  <conditionalFormatting sqref="I90">
    <cfRule type="expression" dxfId="22" priority="119">
      <formula>AND($J$14="Very High", $J$18="Almost certain")</formula>
    </cfRule>
  </conditionalFormatting>
  <conditionalFormatting sqref="I91">
    <cfRule type="expression" dxfId="21" priority="118">
      <formula>AND($J$14="Very High", $J$18="Very likely")</formula>
    </cfRule>
  </conditionalFormatting>
  <conditionalFormatting sqref="I92">
    <cfRule type="expression" dxfId="20" priority="117">
      <formula>AND($J$14="Very High", $J$18="Likely")</formula>
    </cfRule>
  </conditionalFormatting>
  <conditionalFormatting sqref="I93">
    <cfRule type="expression" dxfId="19" priority="116">
      <formula>AND($J$14="Very High", $J$18="Unlikely")</formula>
    </cfRule>
  </conditionalFormatting>
  <conditionalFormatting sqref="I94">
    <cfRule type="expression" dxfId="18" priority="115">
      <formula>AND($J$14="Very High", $J$18="Very unlikely")</formula>
    </cfRule>
  </conditionalFormatting>
  <conditionalFormatting sqref="I100">
    <cfRule type="expression" dxfId="17" priority="71">
      <formula>AND($K$14="Very high", $K$18="Almost certain")</formula>
    </cfRule>
  </conditionalFormatting>
  <conditionalFormatting sqref="I101">
    <cfRule type="expression" dxfId="16" priority="72">
      <formula>AND($K$14="Very high", $K$18="Very likely")</formula>
    </cfRule>
  </conditionalFormatting>
  <conditionalFormatting sqref="I102">
    <cfRule type="expression" dxfId="15" priority="73">
      <formula>AND($K$14="Very high", $K$18="Likely")</formula>
    </cfRule>
  </conditionalFormatting>
  <conditionalFormatting sqref="I103">
    <cfRule type="expression" dxfId="14" priority="74">
      <formula>AND($K$14="Very high", $K$18="Unlikely")</formula>
    </cfRule>
  </conditionalFormatting>
  <conditionalFormatting sqref="I104">
    <cfRule type="expression" dxfId="13" priority="75">
      <formula>AND($K$14="Very high", $K$18="Very unlikely")</formula>
    </cfRule>
  </conditionalFormatting>
  <conditionalFormatting sqref="I110">
    <cfRule type="expression" dxfId="12" priority="34">
      <formula>AND($L$14="Very high", $L$18="Almost certain")</formula>
    </cfRule>
  </conditionalFormatting>
  <conditionalFormatting sqref="I111">
    <cfRule type="expression" dxfId="11" priority="31">
      <formula>AND($L$14="Very high", $L$18="Very likely")</formula>
    </cfRule>
  </conditionalFormatting>
  <conditionalFormatting sqref="I112">
    <cfRule type="expression" dxfId="10" priority="30">
      <formula>AND($L$14="Very high", $L$18="Likely")</formula>
    </cfRule>
  </conditionalFormatting>
  <conditionalFormatting sqref="I113">
    <cfRule type="expression" dxfId="9" priority="37">
      <formula>AND($L$14="Very high", $L$18="Unlikely")</formula>
    </cfRule>
  </conditionalFormatting>
  <conditionalFormatting sqref="I114">
    <cfRule type="expression" dxfId="8" priority="38">
      <formula>AND($L$14="Very high", $L$18="Very unlikely")</formula>
    </cfRule>
  </conditionalFormatting>
  <conditionalFormatting sqref="I120">
    <cfRule type="expression" dxfId="7" priority="3">
      <formula>AND($M$14="Very high", $M$18="Almost certain")</formula>
    </cfRule>
  </conditionalFormatting>
  <conditionalFormatting sqref="I121">
    <cfRule type="expression" dxfId="6" priority="4">
      <formula>AND($M$14="Very high", $M$18="Very likely")</formula>
    </cfRule>
  </conditionalFormatting>
  <conditionalFormatting sqref="I122">
    <cfRule type="expression" dxfId="5" priority="5">
      <formula>AND($M$14="Very high", $M$18="Likely")</formula>
    </cfRule>
  </conditionalFormatting>
  <conditionalFormatting sqref="I123">
    <cfRule type="expression" dxfId="4" priority="6">
      <formula>AND($M$14="Very high", $M$18="Unlikely")</formula>
    </cfRule>
  </conditionalFormatting>
  <conditionalFormatting sqref="I124">
    <cfRule type="expression" dxfId="3" priority="7">
      <formula>AND($M$14="Very high", $M$18="Very unlikely")</formula>
    </cfRule>
  </conditionalFormatting>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'Support sheet '!$B$66:$B$69</xm:f>
          </x14:formula1>
          <xm:sqref>E30:I34 E40:I44 E50:I54 E60:I64 E70:I74 E80:I84 E90:I94 E100:I104 E110:I114 E120:I124</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M23"/>
  <sheetViews>
    <sheetView topLeftCell="F9" zoomScale="89" zoomScaleNormal="89" workbookViewId="0">
      <selection activeCell="L15" sqref="L15"/>
    </sheetView>
  </sheetViews>
  <sheetFormatPr defaultColWidth="11" defaultRowHeight="15.6" x14ac:dyDescent="0.3"/>
  <cols>
    <col min="3" max="3" width="23.19921875" customWidth="1"/>
    <col min="4" max="4" width="28" customWidth="1"/>
    <col min="5" max="5" width="37.69921875" customWidth="1"/>
    <col min="6" max="6" width="26.69921875" customWidth="1"/>
    <col min="7" max="7" width="29.69921875" customWidth="1"/>
    <col min="8" max="8" width="32.5" customWidth="1"/>
    <col min="9" max="9" width="27.8984375" customWidth="1"/>
    <col min="10" max="10" width="30.19921875" customWidth="1"/>
    <col min="11" max="11" width="27" customWidth="1"/>
    <col min="12" max="12" width="25.09765625" customWidth="1"/>
    <col min="13" max="13" width="31" customWidth="1"/>
  </cols>
  <sheetData>
    <row r="2" spans="3:13" ht="16.2" thickBot="1" x14ac:dyDescent="0.35"/>
    <row r="3" spans="3:13" ht="70.5" customHeight="1" thickBot="1" x14ac:dyDescent="0.35">
      <c r="C3" s="191" t="s">
        <v>184</v>
      </c>
      <c r="D3" s="192"/>
      <c r="E3" s="193"/>
    </row>
    <row r="4" spans="3:13" ht="16.2" thickBot="1" x14ac:dyDescent="0.35"/>
    <row r="5" spans="3:13" ht="16.2" thickBot="1" x14ac:dyDescent="0.35">
      <c r="C5" s="95" t="s">
        <v>185</v>
      </c>
    </row>
    <row r="6" spans="3:13" ht="31.8" thickBot="1" x14ac:dyDescent="0.35">
      <c r="C6" s="41" t="s">
        <v>186</v>
      </c>
      <c r="D6" s="42" t="s">
        <v>187</v>
      </c>
      <c r="E6" s="43" t="s">
        <v>188</v>
      </c>
    </row>
    <row r="7" spans="3:13" ht="96" customHeight="1" x14ac:dyDescent="0.3">
      <c r="C7" s="49"/>
      <c r="D7" s="44" t="s">
        <v>189</v>
      </c>
      <c r="E7" s="45" t="s">
        <v>190</v>
      </c>
    </row>
    <row r="8" spans="3:13" ht="150" customHeight="1" x14ac:dyDescent="0.3">
      <c r="C8" s="50"/>
      <c r="D8" s="13" t="s">
        <v>191</v>
      </c>
      <c r="E8" s="46" t="s">
        <v>192</v>
      </c>
    </row>
    <row r="9" spans="3:13" ht="128.69999999999999" customHeight="1" thickBot="1" x14ac:dyDescent="0.35">
      <c r="C9" s="51"/>
      <c r="D9" s="47" t="s">
        <v>193</v>
      </c>
      <c r="E9" s="48" t="s">
        <v>194</v>
      </c>
    </row>
    <row r="11" spans="3:13" ht="16.2" thickBot="1" x14ac:dyDescent="0.35"/>
    <row r="12" spans="3:13" x14ac:dyDescent="0.3">
      <c r="C12" s="53"/>
      <c r="D12" s="54" t="s">
        <v>115</v>
      </c>
      <c r="E12" s="54" t="s">
        <v>116</v>
      </c>
      <c r="F12" s="54" t="s">
        <v>117</v>
      </c>
      <c r="G12" s="54" t="s">
        <v>118</v>
      </c>
      <c r="H12" s="54" t="s">
        <v>119</v>
      </c>
      <c r="I12" s="54" t="s">
        <v>120</v>
      </c>
      <c r="J12" s="54" t="s">
        <v>121</v>
      </c>
      <c r="K12" s="54" t="s">
        <v>122</v>
      </c>
      <c r="L12" s="54" t="s">
        <v>123</v>
      </c>
      <c r="M12" s="55" t="s">
        <v>124</v>
      </c>
    </row>
    <row r="13" spans="3:13" ht="16.2" thickBot="1" x14ac:dyDescent="0.35">
      <c r="C13" s="74" t="s">
        <v>125</v>
      </c>
      <c r="D13" s="188" t="s">
        <v>330</v>
      </c>
      <c r="E13" s="188" t="s">
        <v>331</v>
      </c>
      <c r="F13" s="188" t="s">
        <v>332</v>
      </c>
      <c r="G13" s="188" t="s">
        <v>339</v>
      </c>
      <c r="H13" s="188" t="s">
        <v>333</v>
      </c>
      <c r="I13" s="188" t="s">
        <v>334</v>
      </c>
      <c r="J13" s="188" t="s">
        <v>340</v>
      </c>
      <c r="K13" s="188" t="s">
        <v>335</v>
      </c>
      <c r="L13" s="188" t="s">
        <v>336</v>
      </c>
      <c r="M13" s="188" t="s">
        <v>337</v>
      </c>
    </row>
    <row r="14" spans="3:13" ht="22.95" customHeight="1" x14ac:dyDescent="0.3">
      <c r="C14" s="94" t="s">
        <v>152</v>
      </c>
      <c r="D14" s="50" t="s">
        <v>180</v>
      </c>
      <c r="E14" s="9" t="s">
        <v>181</v>
      </c>
      <c r="F14" s="9" t="s">
        <v>180</v>
      </c>
      <c r="G14" s="9" t="s">
        <v>180</v>
      </c>
      <c r="H14" s="9" t="s">
        <v>180</v>
      </c>
      <c r="I14" s="9" t="s">
        <v>181</v>
      </c>
      <c r="J14" s="9" t="s">
        <v>179</v>
      </c>
      <c r="K14" s="9" t="s">
        <v>180</v>
      </c>
      <c r="L14" s="9" t="s">
        <v>179</v>
      </c>
      <c r="M14" s="9" t="s">
        <v>180</v>
      </c>
    </row>
    <row r="15" spans="3:13" ht="402" customHeight="1" thickBot="1" x14ac:dyDescent="0.35">
      <c r="C15" s="47" t="s">
        <v>195</v>
      </c>
      <c r="D15" s="47" t="s">
        <v>361</v>
      </c>
      <c r="E15" s="47" t="s">
        <v>362</v>
      </c>
      <c r="F15" s="47" t="s">
        <v>363</v>
      </c>
      <c r="G15" s="190" t="s">
        <v>361</v>
      </c>
      <c r="H15" s="190" t="s">
        <v>364</v>
      </c>
      <c r="I15" s="190" t="s">
        <v>365</v>
      </c>
      <c r="J15" s="190" t="s">
        <v>368</v>
      </c>
      <c r="K15" s="190" t="s">
        <v>367</v>
      </c>
      <c r="L15" s="190" t="s">
        <v>369</v>
      </c>
      <c r="M15" s="190" t="s">
        <v>366</v>
      </c>
    </row>
    <row r="16" spans="3:13" x14ac:dyDescent="0.3">
      <c r="D16" s="127"/>
    </row>
    <row r="19" spans="4:7" ht="70.2" customHeight="1" x14ac:dyDescent="0.3">
      <c r="G19" s="34"/>
    </row>
    <row r="20" spans="4:7" ht="82.2" customHeight="1" x14ac:dyDescent="0.3">
      <c r="E20" s="76"/>
      <c r="F20" s="76"/>
      <c r="G20" s="34"/>
    </row>
    <row r="21" spans="4:7" ht="163.95" customHeight="1" x14ac:dyDescent="0.3">
      <c r="G21" s="34"/>
    </row>
    <row r="22" spans="4:7" x14ac:dyDescent="0.3">
      <c r="D22" s="34"/>
      <c r="E22" s="34"/>
      <c r="F22" s="34"/>
      <c r="G22" s="34"/>
    </row>
    <row r="23" spans="4:7" x14ac:dyDescent="0.3">
      <c r="D23" s="34"/>
      <c r="E23" s="34"/>
      <c r="F23" s="34"/>
      <c r="G23" s="34"/>
    </row>
  </sheetData>
  <mergeCells count="1">
    <mergeCell ref="C3:E3"/>
  </mergeCells>
  <conditionalFormatting sqref="E14:M14">
    <cfRule type="containsText" dxfId="2" priority="8" operator="containsText" text="RED">
      <formula>NOT(ISERROR(SEARCH("RED",E14)))</formula>
    </cfRule>
    <cfRule type="containsText" dxfId="1" priority="9" operator="containsText" text="GREEN">
      <formula>NOT(ISERROR(SEARCH("GREEN",E14)))</formula>
    </cfRule>
    <cfRule type="containsText" dxfId="0" priority="10" operator="containsText" text="YELLOW">
      <formula>NOT(ISERROR(SEARCH("YELLOW",E14)))</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'Support sheet '!$E$66:$E$69</xm:f>
          </x14:formula1>
          <xm:sqref>D14:M14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69"/>
  <sheetViews>
    <sheetView topLeftCell="A43" workbookViewId="0">
      <selection activeCell="B66" sqref="B66"/>
    </sheetView>
  </sheetViews>
  <sheetFormatPr defaultColWidth="11" defaultRowHeight="15.6" x14ac:dyDescent="0.3"/>
  <cols>
    <col min="2" max="2" width="22.69921875" customWidth="1"/>
  </cols>
  <sheetData>
    <row r="4" spans="2:6" x14ac:dyDescent="0.3">
      <c r="B4" t="s">
        <v>126</v>
      </c>
    </row>
    <row r="5" spans="2:6" x14ac:dyDescent="0.3">
      <c r="B5" s="9" t="s">
        <v>95</v>
      </c>
      <c r="C5" s="9" t="s">
        <v>153</v>
      </c>
    </row>
    <row r="6" spans="2:6" ht="25.2" customHeight="1" x14ac:dyDescent="0.3">
      <c r="B6" s="13" t="s">
        <v>154</v>
      </c>
      <c r="C6" s="9">
        <v>1</v>
      </c>
    </row>
    <row r="7" spans="2:6" ht="21" customHeight="1" x14ac:dyDescent="0.3">
      <c r="B7" s="13" t="s">
        <v>155</v>
      </c>
      <c r="C7" s="9">
        <v>2</v>
      </c>
    </row>
    <row r="8" spans="2:6" ht="22.95" customHeight="1" x14ac:dyDescent="0.3">
      <c r="B8" s="13" t="s">
        <v>156</v>
      </c>
      <c r="C8" s="9">
        <v>3</v>
      </c>
    </row>
    <row r="9" spans="2:6" ht="17.7" customHeight="1" x14ac:dyDescent="0.3">
      <c r="B9" s="13" t="s">
        <v>157</v>
      </c>
      <c r="C9" s="9">
        <v>4</v>
      </c>
    </row>
    <row r="10" spans="2:6" x14ac:dyDescent="0.3">
      <c r="B10" s="13" t="s">
        <v>158</v>
      </c>
      <c r="C10" s="9">
        <v>5</v>
      </c>
    </row>
    <row r="14" spans="2:6" x14ac:dyDescent="0.3">
      <c r="B14" t="s">
        <v>159</v>
      </c>
    </row>
    <row r="15" spans="2:6" x14ac:dyDescent="0.3">
      <c r="B15" s="9" t="s">
        <v>95</v>
      </c>
      <c r="C15" s="9" t="s">
        <v>40</v>
      </c>
      <c r="E15" s="9" t="s">
        <v>95</v>
      </c>
      <c r="F15" s="9" t="s">
        <v>40</v>
      </c>
    </row>
    <row r="16" spans="2:6" x14ac:dyDescent="0.3">
      <c r="B16" s="9" t="s">
        <v>135</v>
      </c>
      <c r="C16" s="9">
        <v>1</v>
      </c>
      <c r="E16" s="9" t="s">
        <v>49</v>
      </c>
      <c r="F16" s="9">
        <v>1</v>
      </c>
    </row>
    <row r="17" spans="2:6" x14ac:dyDescent="0.3">
      <c r="B17" s="9" t="s">
        <v>160</v>
      </c>
      <c r="C17" s="9">
        <v>2</v>
      </c>
      <c r="E17" s="9" t="s">
        <v>41</v>
      </c>
      <c r="F17" s="9">
        <v>0</v>
      </c>
    </row>
    <row r="18" spans="2:6" x14ac:dyDescent="0.3">
      <c r="B18" s="9" t="s">
        <v>161</v>
      </c>
      <c r="C18" s="9">
        <v>3</v>
      </c>
      <c r="E18" s="9"/>
      <c r="F18" s="9"/>
    </row>
    <row r="19" spans="2:6" x14ac:dyDescent="0.3">
      <c r="B19" s="9" t="s">
        <v>162</v>
      </c>
      <c r="C19" s="9">
        <v>4</v>
      </c>
    </row>
    <row r="20" spans="2:6" x14ac:dyDescent="0.3">
      <c r="B20" s="9" t="s">
        <v>163</v>
      </c>
      <c r="C20" s="9">
        <v>5</v>
      </c>
    </row>
    <row r="23" spans="2:6" x14ac:dyDescent="0.3">
      <c r="B23" t="s">
        <v>164</v>
      </c>
    </row>
    <row r="24" spans="2:6" x14ac:dyDescent="0.3">
      <c r="B24" s="9" t="s">
        <v>95</v>
      </c>
      <c r="C24" s="9" t="s">
        <v>40</v>
      </c>
    </row>
    <row r="25" spans="2:6" x14ac:dyDescent="0.3">
      <c r="B25" s="9" t="s">
        <v>165</v>
      </c>
      <c r="C25" s="9">
        <v>1</v>
      </c>
      <c r="E25" s="9" t="s">
        <v>73</v>
      </c>
      <c r="F25" s="9">
        <v>2</v>
      </c>
    </row>
    <row r="26" spans="2:6" x14ac:dyDescent="0.3">
      <c r="B26" s="9" t="s">
        <v>166</v>
      </c>
      <c r="C26" s="9">
        <v>2</v>
      </c>
      <c r="E26" s="9" t="s">
        <v>74</v>
      </c>
      <c r="F26" s="9">
        <v>1</v>
      </c>
    </row>
    <row r="27" spans="2:6" x14ac:dyDescent="0.3">
      <c r="B27" s="9" t="s">
        <v>167</v>
      </c>
      <c r="C27" s="9">
        <v>3</v>
      </c>
      <c r="E27" s="9" t="s">
        <v>71</v>
      </c>
      <c r="F27" s="9">
        <v>0</v>
      </c>
    </row>
    <row r="28" spans="2:6" x14ac:dyDescent="0.3">
      <c r="B28" s="9" t="s">
        <v>168</v>
      </c>
      <c r="C28" s="9">
        <v>4</v>
      </c>
      <c r="E28" t="s">
        <v>169</v>
      </c>
      <c r="F28" s="9">
        <v>0</v>
      </c>
    </row>
    <row r="29" spans="2:6" x14ac:dyDescent="0.3">
      <c r="B29" s="9" t="s">
        <v>170</v>
      </c>
      <c r="C29" s="9">
        <v>5</v>
      </c>
    </row>
    <row r="33" spans="2:8" x14ac:dyDescent="0.3">
      <c r="B33" s="11" t="s">
        <v>171</v>
      </c>
    </row>
    <row r="34" spans="2:8" x14ac:dyDescent="0.3">
      <c r="B34" s="12" t="s">
        <v>95</v>
      </c>
      <c r="C34" s="9" t="s">
        <v>40</v>
      </c>
      <c r="F34" s="9"/>
      <c r="G34" s="9" t="s">
        <v>95</v>
      </c>
      <c r="H34" s="9" t="s">
        <v>96</v>
      </c>
    </row>
    <row r="35" spans="2:8" ht="31.2" x14ac:dyDescent="0.3">
      <c r="B35" s="10" t="s">
        <v>83</v>
      </c>
      <c r="C35" s="9">
        <v>2</v>
      </c>
      <c r="F35" s="9">
        <v>1</v>
      </c>
      <c r="G35" s="9" t="s">
        <v>97</v>
      </c>
      <c r="H35" s="9" t="s">
        <v>172</v>
      </c>
    </row>
    <row r="36" spans="2:8" ht="31.2" x14ac:dyDescent="0.3">
      <c r="B36" s="10" t="s">
        <v>173</v>
      </c>
      <c r="C36" s="9">
        <v>1</v>
      </c>
      <c r="F36" s="9">
        <v>2</v>
      </c>
      <c r="G36" s="9" t="s">
        <v>73</v>
      </c>
      <c r="H36" s="9" t="s">
        <v>174</v>
      </c>
    </row>
    <row r="37" spans="2:8" x14ac:dyDescent="0.3">
      <c r="B37" s="10" t="s">
        <v>82</v>
      </c>
      <c r="C37" s="9">
        <v>0</v>
      </c>
      <c r="F37" s="9">
        <v>3</v>
      </c>
      <c r="G37" s="9" t="s">
        <v>100</v>
      </c>
      <c r="H37" s="9" t="s">
        <v>175</v>
      </c>
    </row>
    <row r="38" spans="2:8" x14ac:dyDescent="0.3">
      <c r="F38" s="9">
        <v>4</v>
      </c>
      <c r="G38" s="9" t="s">
        <v>102</v>
      </c>
      <c r="H38" s="9" t="s">
        <v>176</v>
      </c>
    </row>
    <row r="39" spans="2:8" x14ac:dyDescent="0.3">
      <c r="F39" s="9">
        <v>5</v>
      </c>
      <c r="G39" s="9" t="s">
        <v>104</v>
      </c>
      <c r="H39" s="9" t="s">
        <v>177</v>
      </c>
    </row>
    <row r="42" spans="2:8" x14ac:dyDescent="0.3">
      <c r="B42" s="9"/>
      <c r="C42" s="9" t="s">
        <v>95</v>
      </c>
    </row>
    <row r="43" spans="2:8" x14ac:dyDescent="0.3">
      <c r="B43" s="9">
        <v>1</v>
      </c>
      <c r="C43" s="9" t="s">
        <v>97</v>
      </c>
    </row>
    <row r="44" spans="2:8" x14ac:dyDescent="0.3">
      <c r="B44" s="9">
        <v>2</v>
      </c>
      <c r="C44" s="9" t="s">
        <v>73</v>
      </c>
    </row>
    <row r="45" spans="2:8" x14ac:dyDescent="0.3">
      <c r="B45" s="9">
        <v>3</v>
      </c>
      <c r="C45" s="9" t="s">
        <v>100</v>
      </c>
    </row>
    <row r="46" spans="2:8" x14ac:dyDescent="0.3">
      <c r="B46" s="9">
        <v>4</v>
      </c>
      <c r="C46" s="9" t="s">
        <v>102</v>
      </c>
    </row>
    <row r="47" spans="2:8" x14ac:dyDescent="0.3">
      <c r="B47" s="9">
        <v>5</v>
      </c>
      <c r="C47" s="9" t="s">
        <v>104</v>
      </c>
    </row>
    <row r="51" spans="2:3" x14ac:dyDescent="0.3">
      <c r="B51" t="s">
        <v>127</v>
      </c>
    </row>
    <row r="52" spans="2:3" x14ac:dyDescent="0.3">
      <c r="B52" s="12" t="s">
        <v>95</v>
      </c>
      <c r="C52" s="9" t="s">
        <v>40</v>
      </c>
    </row>
    <row r="53" spans="2:3" x14ac:dyDescent="0.3">
      <c r="B53" t="s">
        <v>178</v>
      </c>
      <c r="C53">
        <v>1</v>
      </c>
    </row>
    <row r="54" spans="2:3" x14ac:dyDescent="0.3">
      <c r="B54" t="s">
        <v>102</v>
      </c>
      <c r="C54">
        <v>2</v>
      </c>
    </row>
    <row r="55" spans="2:3" x14ac:dyDescent="0.3">
      <c r="B55" t="s">
        <v>138</v>
      </c>
      <c r="C55">
        <v>3</v>
      </c>
    </row>
    <row r="56" spans="2:3" x14ac:dyDescent="0.3">
      <c r="B56" t="s">
        <v>73</v>
      </c>
      <c r="C56">
        <v>4</v>
      </c>
    </row>
    <row r="57" spans="2:3" x14ac:dyDescent="0.3">
      <c r="B57" t="s">
        <v>97</v>
      </c>
      <c r="C57">
        <v>5</v>
      </c>
    </row>
    <row r="61" spans="2:3" x14ac:dyDescent="0.3">
      <c r="B61" s="36" t="s">
        <v>179</v>
      </c>
    </row>
    <row r="62" spans="2:3" x14ac:dyDescent="0.3">
      <c r="B62" s="75" t="s">
        <v>180</v>
      </c>
    </row>
    <row r="63" spans="2:3" x14ac:dyDescent="0.3">
      <c r="B63" s="76" t="s">
        <v>181</v>
      </c>
    </row>
    <row r="66" spans="2:5" x14ac:dyDescent="0.3">
      <c r="B66" t="s">
        <v>179</v>
      </c>
      <c r="E66" t="s">
        <v>179</v>
      </c>
    </row>
    <row r="67" spans="2:5" x14ac:dyDescent="0.3">
      <c r="B67" t="s">
        <v>180</v>
      </c>
      <c r="E67" t="s">
        <v>180</v>
      </c>
    </row>
    <row r="68" spans="2:5" x14ac:dyDescent="0.3">
      <c r="B68" t="s">
        <v>181</v>
      </c>
      <c r="E68" t="s">
        <v>181</v>
      </c>
    </row>
    <row r="69" spans="2:5" x14ac:dyDescent="0.3">
      <c r="B69" t="s">
        <v>182</v>
      </c>
      <c r="E69" t="s">
        <v>183</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966D3FE852214294AE22E68E31FF4F" ma:contentTypeVersion="12" ma:contentTypeDescription="Create a new document." ma:contentTypeScope="" ma:versionID="9b8284710eba3af5911b8e40af9f17f7">
  <xsd:schema xmlns:xsd="http://www.w3.org/2001/XMLSchema" xmlns:xs="http://www.w3.org/2001/XMLSchema" xmlns:p="http://schemas.microsoft.com/office/2006/metadata/properties" xmlns:ns2="baf3cd83-1413-4994-969d-2eed72547f7c" xmlns:ns3="6f541be3-58c7-4d95-9898-c54277e0b289" targetNamespace="http://schemas.microsoft.com/office/2006/metadata/properties" ma:root="true" ma:fieldsID="0c06cc440795bc1fcd589ee746d83d26" ns2:_="" ns3:_="">
    <xsd:import namespace="baf3cd83-1413-4994-969d-2eed72547f7c"/>
    <xsd:import namespace="6f541be3-58c7-4d95-9898-c54277e0b28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f3cd83-1413-4994-969d-2eed72547f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541be3-58c7-4d95-9898-c54277e0b2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2d60b0c-29b2-4f77-9c6b-b26915e366da}" ma:internalName="TaxCatchAll" ma:showField="CatchAllData" ma:web="6f541be3-58c7-4d95-9898-c54277e0b28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541be3-58c7-4d95-9898-c54277e0b289" xsi:nil="true"/>
    <lcf76f155ced4ddcb4097134ff3c332f xmlns="baf3cd83-1413-4994-969d-2eed72547f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F3E42E-0D96-47DB-8F25-CA84D08CDF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f3cd83-1413-4994-969d-2eed72547f7c"/>
    <ds:schemaRef ds:uri="6f541be3-58c7-4d95-9898-c54277e0b2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1397EB-D31D-4251-AB08-66CAFAE86BA0}">
  <ds:schemaRefs>
    <ds:schemaRef ds:uri="http://schemas.microsoft.com/sharepoint/v3/contenttype/forms"/>
  </ds:schemaRefs>
</ds:datastoreItem>
</file>

<file path=customXml/itemProps3.xml><?xml version="1.0" encoding="utf-8"?>
<ds:datastoreItem xmlns:ds="http://schemas.openxmlformats.org/officeDocument/2006/customXml" ds:itemID="{B78118FD-6096-4DC3-89B7-7731B2BDFD23}">
  <ds:schemaRefs>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6f541be3-58c7-4d95-9898-c54277e0b289"/>
    <ds:schemaRef ds:uri="http://purl.org/dc/elements/1.1/"/>
    <ds:schemaRef ds:uri="baf3cd83-1413-4994-969d-2eed72547f7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1-Instructions</vt:lpstr>
      <vt:lpstr>2-Ground Crossing ID</vt:lpstr>
      <vt:lpstr>3-Hazard Assessment</vt:lpstr>
      <vt:lpstr>4- Vulnerabilty Assessment</vt:lpstr>
      <vt:lpstr>5- Severity Assessment </vt:lpstr>
      <vt:lpstr> 6-Capacity Assessment</vt:lpstr>
      <vt:lpstr>7- Likelihood Assessment </vt:lpstr>
      <vt:lpstr>8-Scorecard</vt:lpstr>
      <vt:lpstr>9-Mitigation Measures</vt:lpstr>
      <vt:lpstr>Support sheet </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dc:creator>
  <cp:lastModifiedBy>D. Darreer</cp:lastModifiedBy>
  <cp:revision/>
  <dcterms:created xsi:type="dcterms:W3CDTF">2019-08-13T14:02:15Z</dcterms:created>
  <dcterms:modified xsi:type="dcterms:W3CDTF">2026-04-06T06:50:56Z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0x0101006D35B37B8DA106439795AD7057145F41</vt:lpwstr>
  </property>
</Properties>
</file>